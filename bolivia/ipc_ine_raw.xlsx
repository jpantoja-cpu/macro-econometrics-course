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filterPrivacy="1" codeName="ThisWorkbook" defaultThemeVersion="124226"/>
  <xr:revisionPtr revIDLastSave="0" documentId="13_ncr:1_{7354A4E9-5253-444A-BB24-F1AC82C8E757}" xr6:coauthVersionLast="47" xr6:coauthVersionMax="47" xr10:uidLastSave="{00000000-0000-0000-0000-000000000000}"/>
  <bookViews>
    <workbookView xWindow="28680" yWindow="-120" windowWidth="29040" windowHeight="15720" tabRatio="746" activeTab="4" xr2:uid="{00000000-000D-0000-FFFF-FFFF00000000}"/>
  </bookViews>
  <sheets>
    <sheet name="INICIO" sheetId="5" r:id="rId1"/>
    <sheet name="CUADRO Nº 1.1 ÍNDICE MENSUAL" sheetId="1" r:id="rId2"/>
    <sheet name="CUADRO Nº 1.2 VAR MENSUAL" sheetId="2" r:id="rId3"/>
    <sheet name="CUADRO Nº 1.3 VAR ACUMULADA" sheetId="4" r:id="rId4"/>
    <sheet name="CUADRO Nº 1.4 VAR 12 MESES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9" i="1" l="1"/>
  <c r="H19" i="1"/>
</calcChain>
</file>

<file path=xl/sharedStrings.xml><?xml version="1.0" encoding="utf-8"?>
<sst xmlns="http://schemas.openxmlformats.org/spreadsheetml/2006/main" count="83" uniqueCount="36">
  <si>
    <t>MES</t>
  </si>
  <si>
    <t>(Porcentaje)</t>
  </si>
  <si>
    <t>BOLIVIA</t>
  </si>
  <si>
    <r>
      <t xml:space="preserve">Índice de Precios al Consumidor
</t>
    </r>
    <r>
      <rPr>
        <sz val="12"/>
        <color theme="0"/>
        <rFont val="Arial"/>
        <family val="2"/>
      </rPr>
      <t xml:space="preserve">El Índice de Precios al Consumidor (IPC) es un indicador que mide la variación mensual de los precios de un conjunto de bienes y servicios, representativos del gasto que realizan los hogares.
El IPC con base 2016 sustenta su estructura en una canasta representativa del conjunto de bienes y servicios que consumen los hogares, su alcance comprende a seis ciudades capitales del país (Sucre, Oruro, Potosí, Tarija, Trinidad y Cobija) y tres conurbaciones: Conurbación La Paz (Nuestra Señora de La Paz, El Alto, Viacha y Achocalla), Región Metropolitana Kanata (Cercado, Quillacollo, Sacaba, Colcapirhua, Tiquipaya, Sipe Sipe y Vinto) y Conurbación Santa Cruz (Santa Cruz de la Sierra, La Guardia, Cotoca y Warnes).
</t>
    </r>
    <r>
      <rPr>
        <b/>
        <sz val="12"/>
        <color theme="0"/>
        <rFont val="Arial"/>
        <family val="2"/>
      </rPr>
      <t>Número índice</t>
    </r>
    <r>
      <rPr>
        <sz val="12"/>
        <color theme="0"/>
        <rFont val="Arial"/>
        <family val="2"/>
      </rPr>
      <t>: Un índice es una variable estadística. El número índice corresponde al valor que toma la variable en un momento dado del tiempo. A su vez, es la expresión numérica que muestra los cambios de una magnitud en el tiempo. Para la construcción de un número índice es necesario definir su cobertura, período de base y sistema de ponderación, entre otros.
“En general, se considera que el IPC es un índice que mide los cambios en los precios de los bienes y servicios de consumo adquiridos y utilizados por los hogares”</t>
    </r>
    <r>
      <rPr>
        <vertAlign val="superscript"/>
        <sz val="12"/>
        <color theme="0"/>
        <rFont val="Arial"/>
        <family val="2"/>
      </rPr>
      <t>1</t>
    </r>
    <r>
      <rPr>
        <sz val="12"/>
        <color theme="0"/>
        <rFont val="Arial"/>
        <family val="2"/>
      </rPr>
      <t xml:space="preserve">
</t>
    </r>
    <r>
      <rPr>
        <b/>
        <sz val="12"/>
        <color theme="0"/>
        <rFont val="Arial"/>
        <family val="2"/>
      </rPr>
      <t>Variación porcentual mensual</t>
    </r>
    <r>
      <rPr>
        <sz val="12"/>
        <color theme="0"/>
        <rFont val="Arial"/>
        <family val="2"/>
      </rPr>
      <t xml:space="preserve">: La variación mensual de un índice es la variación promedio de los precios de un mes a otro; se calcula como el cociente entre el índice en el mes corriente t y el índice en el mes anterior t-1, según la siguiente fórmula:
          Variación (%) Mensual </t>
    </r>
    <r>
      <rPr>
        <vertAlign val="subscript"/>
        <sz val="12"/>
        <color theme="0"/>
        <rFont val="Arial"/>
        <family val="2"/>
      </rPr>
      <t>t</t>
    </r>
    <r>
      <rPr>
        <sz val="12"/>
        <color theme="0"/>
        <rFont val="Arial"/>
        <family val="2"/>
      </rPr>
      <t xml:space="preserve"> = [(IPC</t>
    </r>
    <r>
      <rPr>
        <vertAlign val="subscript"/>
        <sz val="12"/>
        <color theme="0"/>
        <rFont val="Arial"/>
        <family val="2"/>
      </rPr>
      <t>t</t>
    </r>
    <r>
      <rPr>
        <sz val="12"/>
        <color theme="0"/>
        <rFont val="Arial"/>
        <family val="2"/>
      </rPr>
      <t xml:space="preserve"> ⁄ IPC</t>
    </r>
    <r>
      <rPr>
        <vertAlign val="subscript"/>
        <sz val="12"/>
        <color theme="0"/>
        <rFont val="Arial"/>
        <family val="2"/>
      </rPr>
      <t>t-1</t>
    </r>
    <r>
      <rPr>
        <sz val="12"/>
        <color theme="0"/>
        <rFont val="Arial"/>
        <family val="2"/>
      </rPr>
      <t xml:space="preserve">) -1]*100.
</t>
    </r>
    <r>
      <rPr>
        <b/>
        <sz val="12"/>
        <color theme="0"/>
        <rFont val="Arial"/>
        <family val="2"/>
      </rPr>
      <t xml:space="preserve">Variación porcentual acumulada: </t>
    </r>
    <r>
      <rPr>
        <sz val="12"/>
        <color theme="0"/>
        <rFont val="Arial"/>
        <family val="2"/>
      </rPr>
      <t xml:space="preserve">Es la variación promedio de los precios en el año y se calcula como cociente entre el índice en el mes t y el índice de diciembre del año anterior, según la siguiente fórmula:
          Variación (%) Acumulada </t>
    </r>
    <r>
      <rPr>
        <vertAlign val="subscript"/>
        <sz val="12"/>
        <color theme="0"/>
        <rFont val="Arial"/>
        <family val="2"/>
      </rPr>
      <t>t</t>
    </r>
    <r>
      <rPr>
        <sz val="12"/>
        <color theme="0"/>
        <rFont val="Arial"/>
        <family val="2"/>
      </rPr>
      <t xml:space="preserve"> = [(IPC</t>
    </r>
    <r>
      <rPr>
        <vertAlign val="subscript"/>
        <sz val="12"/>
        <color theme="0"/>
        <rFont val="Arial"/>
        <family val="2"/>
      </rPr>
      <t>t</t>
    </r>
    <r>
      <rPr>
        <sz val="12"/>
        <color theme="0"/>
        <rFont val="Arial"/>
        <family val="2"/>
      </rPr>
      <t xml:space="preserve"> ⁄ IPC</t>
    </r>
    <r>
      <rPr>
        <vertAlign val="subscript"/>
        <sz val="12"/>
        <color theme="0"/>
        <rFont val="Arial"/>
        <family val="2"/>
      </rPr>
      <t>dic año anterior</t>
    </r>
    <r>
      <rPr>
        <sz val="12"/>
        <color theme="0"/>
        <rFont val="Arial"/>
        <family val="2"/>
      </rPr>
      <t>)-1]*100.</t>
    </r>
    <r>
      <rPr>
        <b/>
        <sz val="12"/>
        <color theme="0"/>
        <rFont val="Arial"/>
        <family val="2"/>
      </rPr>
      <t xml:space="preserve">
Variación porcentual a 12 meses: </t>
    </r>
    <r>
      <rPr>
        <sz val="12"/>
        <color theme="0"/>
        <rFont val="Arial"/>
        <family val="2"/>
      </rPr>
      <t xml:space="preserve">Es la variación promedio de los precios entre el mes de referencia y el mismo mes del año inmediatamente anterior, según la siguiente fórmula:
          Variación (%) 12 meses </t>
    </r>
    <r>
      <rPr>
        <vertAlign val="subscript"/>
        <sz val="12"/>
        <color theme="0"/>
        <rFont val="Arial"/>
        <family val="2"/>
      </rPr>
      <t>t</t>
    </r>
    <r>
      <rPr>
        <sz val="12"/>
        <color theme="0"/>
        <rFont val="Arial"/>
        <family val="2"/>
      </rPr>
      <t xml:space="preserve"> = [(IPC</t>
    </r>
    <r>
      <rPr>
        <vertAlign val="subscript"/>
        <sz val="12"/>
        <color theme="0"/>
        <rFont val="Arial"/>
        <family val="2"/>
      </rPr>
      <t>mes t</t>
    </r>
    <r>
      <rPr>
        <sz val="12"/>
        <color theme="0"/>
        <rFont val="Arial"/>
        <family val="2"/>
      </rPr>
      <t xml:space="preserve"> ⁄ IPC</t>
    </r>
    <r>
      <rPr>
        <vertAlign val="subscript"/>
        <sz val="12"/>
        <color theme="0"/>
        <rFont val="Arial"/>
        <family val="2"/>
      </rPr>
      <t>mes t, año anterior</t>
    </r>
    <r>
      <rPr>
        <sz val="12"/>
        <color theme="0"/>
        <rFont val="Arial"/>
        <family val="2"/>
      </rPr>
      <t xml:space="preserve">) -1]*100.
Es importante mencionar que estas fórmulas para calcular variaciones también son aplicables a los índices de ciudades capitales y conurbaciones, índices a nivel división e índices de productos.
_______________________________________________
</t>
    </r>
    <r>
      <rPr>
        <vertAlign val="superscript"/>
        <sz val="8"/>
        <color theme="0"/>
        <rFont val="Arial"/>
        <family val="2"/>
      </rPr>
      <t>1</t>
    </r>
    <r>
      <rPr>
        <vertAlign val="superscript"/>
        <sz val="12"/>
        <color theme="0"/>
        <rFont val="Arial"/>
        <family val="2"/>
      </rPr>
      <t xml:space="preserve"> </t>
    </r>
    <r>
      <rPr>
        <sz val="8"/>
        <color theme="0"/>
        <rFont val="Arial"/>
        <family val="2"/>
      </rPr>
      <t>Manual del Índice de Precios al Consumidor – Teoría y Práctica, párrafo 1.150, Pág. 21.</t>
    </r>
  </si>
  <si>
    <t>PROM. ANUAL</t>
  </si>
  <si>
    <t>ACUMULADA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</si>
  <si>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</si>
  <si>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</si>
  <si>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</si>
  <si>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</si>
  <si>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</si>
  <si>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</si>
  <si>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</si>
  <si>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</si>
  <si>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</si>
  <si>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</si>
  <si>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</si>
  <si>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</si>
  <si>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Cuadro Nº 1.4</t>
  </si>
  <si>
    <t>Cuadro Nº 1.1</t>
  </si>
  <si>
    <t>Cuadro Nº 1.2</t>
  </si>
  <si>
    <t>Cuadro Nº 1.3</t>
  </si>
  <si>
    <t>Fuente: Instituto Nacional de Estadística</t>
  </si>
  <si>
    <t>(Base 2016=100)</t>
  </si>
  <si>
    <t xml:space="preserve">
Índice de Precios al Consumidor - IPC
(Base 2016=100)</t>
  </si>
  <si>
    <t>Índice Mensual de Bolivia, Variación Porcentual Mensual, Variación Porcentual Acumulada, Variación Porcentual a 12 meses
SERIE: 2018 - 2026</t>
  </si>
  <si>
    <t>BOLIVIA: ÍNDICE DE PRECIOS AL CONSUMIDOR MENSUAL, 2018 - 2026</t>
  </si>
  <si>
    <t>BOLIVIA: VARIACIÓN PORCENTUAL MENSUAL, PROMEDIO ANUAL Y ACUMULADA DEL ÍNDICE DE PRECIOS AL CONSUMIDOR, 2018 - 2026</t>
  </si>
  <si>
    <t>BOLIVIA: VARIACIÓN PORCENTUAL ACUMULADA MENSUAL DEL ÍNDICE DE PRECIOS AL CONSUMIDOR, 2018 - 2026</t>
  </si>
  <si>
    <t>BOLIVIA: VARIACIÓN PORCENTUAL A 12 MESES DEL ÍNDICE DE PRECIOS AL CONSUMIDOR, 2018 - 2026</t>
  </si>
  <si>
    <t>Cuadro 1.1: Índice Mensual, por año, según mes, Serie: 2018 - 2026</t>
  </si>
  <si>
    <t>Cuadro 1.2: Variación Porcentual Mensual, Según Mes, Serie: 2018 - 2026</t>
  </si>
  <si>
    <t>Cuadro 1.3: Variación Porcentual Acumulada, Según Mes, Serie: 2018 - 2026</t>
  </si>
  <si>
    <t>Cuadro 1.4: Variación Porcentual a 12 Meses, Según Mes, Serie: 2018 - 2026</t>
  </si>
  <si>
    <t>Fecha de publicación: Octubre de 2026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</si>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</sst>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0.000"/>
  </numFmts>
  <fonts count="3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1"/>
      <color theme="5" tint="-0.499984740745262"/>
      <name val="Arial"/>
      <family val="2"/>
    </font>
    <font>
      <sz val="11"/>
      <color theme="3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b/>
      <sz val="11"/>
      <color indexed="20"/>
      <name val="Arial"/>
      <family val="2"/>
    </font>
    <font>
      <sz val="12"/>
      <color theme="0"/>
      <name val="Arial"/>
      <family val="2"/>
    </font>
    <font>
      <b/>
      <sz val="12"/>
      <name val="Arial"/>
      <family val="2"/>
    </font>
    <font>
      <b/>
      <sz val="11"/>
      <color theme="0"/>
      <name val="Arial"/>
      <family val="2"/>
    </font>
    <font>
      <b/>
      <sz val="10"/>
      <color rgb="FF6D264E"/>
      <name val="Arial"/>
      <family val="2"/>
    </font>
    <font>
      <u/>
      <sz val="10"/>
      <color rgb="FF6D264E"/>
      <name val="Arial"/>
      <family val="2"/>
    </font>
    <font>
      <b/>
      <sz val="12"/>
      <color theme="0"/>
      <name val="Arial"/>
      <family val="2"/>
    </font>
    <font>
      <vertAlign val="superscript"/>
      <sz val="12"/>
      <color theme="0"/>
      <name val="Arial"/>
      <family val="2"/>
    </font>
    <font>
      <vertAlign val="subscript"/>
      <sz val="12"/>
      <color theme="0"/>
      <name val="Arial"/>
      <family val="2"/>
    </font>
    <font>
      <vertAlign val="superscript"/>
      <sz val="8"/>
      <color theme="0"/>
      <name val="Arial"/>
      <family val="2"/>
    </font>
    <font>
      <sz val="8"/>
      <color theme="0"/>
      <name val="Arial"/>
      <family val="2"/>
    </font>
    <font>
      <b/>
      <sz val="10"/>
      <color indexed="16"/>
      <name val="Arial"/>
      <family val="2"/>
    </font>
    <font>
      <b/>
      <i/>
      <sz val="10"/>
      <color rgb="FF6D264E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7"/>
      <name val="Arial"/>
      <family val="2"/>
    </font>
    <font>
      <b/>
      <sz val="10"/>
      <color theme="0"/>
      <name val="Arial"/>
      <family val="2"/>
    </font>
    <font>
      <sz val="9"/>
      <color theme="1"/>
      <name val="Arial"/>
      <family val="2"/>
    </font>
    <font>
      <b/>
      <sz val="15"/>
      <color rgb="FF1C365B"/>
      <name val="Arial"/>
      <family val="2"/>
    </font>
    <font>
      <i/>
      <sz val="10"/>
      <color rgb="FF1C365B"/>
      <name val="Arial"/>
      <family val="2"/>
    </font>
    <font>
      <u/>
      <sz val="10"/>
      <color rgb="FF1C365B"/>
      <name val="Arial"/>
      <family val="2"/>
    </font>
    <font>
      <b/>
      <sz val="10"/>
      <color rgb="FF1C365B"/>
      <name val="Arial"/>
      <family val="2"/>
    </font>
    <font>
      <b/>
      <i/>
      <sz val="10"/>
      <color rgb="FF1C365B"/>
      <name val="Arial"/>
      <family val="2"/>
    </font>
    <font>
      <sz val="8"/>
      <color rgb="FF1C365B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gradientFill degree="135">
        <stop position="0">
          <color rgb="FF0070C0"/>
        </stop>
        <stop position="1">
          <color rgb="FFFF0000"/>
        </stop>
      </gradientFill>
    </fill>
    <fill>
      <patternFill patternType="solid">
        <fgColor rgb="FFC5D9F1"/>
        <bgColor indexed="64"/>
      </patternFill>
    </fill>
    <fill>
      <patternFill patternType="solid">
        <fgColor rgb="FF1C365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164" fontId="6" fillId="0" borderId="0" applyFont="0" applyFill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49">
    <xf numFmtId="0" fontId="0" fillId="0" borderId="0" xfId="0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8" fillId="5" borderId="0" xfId="6" quotePrefix="1" applyFill="1" applyBorder="1" applyAlignment="1" applyProtection="1">
      <alignment vertical="center"/>
    </xf>
    <xf numFmtId="0" fontId="9" fillId="5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center" vertical="center"/>
    </xf>
    <xf numFmtId="0" fontId="8" fillId="6" borderId="0" xfId="6" quotePrefix="1" applyFill="1" applyBorder="1" applyAlignment="1" applyProtection="1">
      <alignment vertical="center"/>
    </xf>
    <xf numFmtId="0" fontId="0" fillId="0" borderId="0" xfId="0" applyAlignment="1">
      <alignment vertical="center"/>
    </xf>
    <xf numFmtId="0" fontId="12" fillId="7" borderId="0" xfId="1" applyFont="1" applyFill="1" applyAlignment="1">
      <alignment horizontal="center" vertical="center"/>
    </xf>
    <xf numFmtId="0" fontId="13" fillId="6" borderId="0" xfId="6" quotePrefix="1" applyFont="1" applyFill="1" applyBorder="1" applyAlignment="1" applyProtection="1">
      <alignment vertical="center"/>
    </xf>
    <xf numFmtId="0" fontId="9" fillId="6" borderId="0" xfId="1" applyFont="1" applyFill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13" fillId="0" borderId="0" xfId="7" applyFont="1" applyAlignment="1">
      <alignment vertical="center"/>
    </xf>
    <xf numFmtId="0" fontId="20" fillId="0" borderId="0" xfId="1" applyFont="1"/>
    <xf numFmtId="0" fontId="13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4" fillId="2" borderId="0" xfId="7" applyFont="1" applyFill="1"/>
    <xf numFmtId="0" fontId="23" fillId="8" borderId="4" xfId="1" applyFont="1" applyFill="1" applyBorder="1" applyAlignment="1">
      <alignment horizontal="left" vertical="center" indent="1"/>
    </xf>
    <xf numFmtId="2" fontId="23" fillId="8" borderId="4" xfId="2" applyNumberFormat="1" applyFont="1" applyFill="1" applyBorder="1" applyAlignment="1">
      <alignment horizontal="center" vertical="center" wrapText="1"/>
    </xf>
    <xf numFmtId="0" fontId="22" fillId="0" borderId="5" xfId="7" applyFont="1" applyBorder="1" applyAlignment="1">
      <alignment horizontal="left" vertical="center" indent="1"/>
    </xf>
    <xf numFmtId="2" fontId="22" fillId="2" borderId="5" xfId="3" applyNumberFormat="1" applyFont="1" applyFill="1" applyBorder="1" applyAlignment="1">
      <alignment horizontal="center" vertical="center"/>
    </xf>
    <xf numFmtId="0" fontId="23" fillId="8" borderId="5" xfId="1" applyFont="1" applyFill="1" applyBorder="1" applyAlignment="1">
      <alignment horizontal="left" vertical="center" indent="1"/>
    </xf>
    <xf numFmtId="2" fontId="23" fillId="8" borderId="5" xfId="2" applyNumberFormat="1" applyFont="1" applyFill="1" applyBorder="1" applyAlignment="1">
      <alignment horizontal="center" vertical="center" wrapText="1"/>
    </xf>
    <xf numFmtId="0" fontId="22" fillId="0" borderId="4" xfId="7" applyFont="1" applyBorder="1" applyAlignment="1">
      <alignment horizontal="left" vertical="center" indent="1"/>
    </xf>
    <xf numFmtId="2" fontId="22" fillId="2" borderId="4" xfId="3" applyNumberFormat="1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5" fillId="0" borderId="5" xfId="0" applyFont="1" applyBorder="1" applyAlignment="1">
      <alignment horizontal="center" vertical="center" wrapText="1"/>
    </xf>
    <xf numFmtId="165" fontId="22" fillId="2" borderId="5" xfId="3" applyNumberFormat="1" applyFont="1" applyFill="1" applyBorder="1" applyAlignment="1">
      <alignment horizontal="center" vertical="center"/>
    </xf>
    <xf numFmtId="0" fontId="29" fillId="6" borderId="0" xfId="6" quotePrefix="1" applyFont="1" applyFill="1" applyBorder="1" applyAlignment="1" applyProtection="1">
      <alignment vertical="center"/>
    </xf>
    <xf numFmtId="0" fontId="30" fillId="6" borderId="0" xfId="6" quotePrefix="1" applyFont="1" applyFill="1" applyBorder="1" applyAlignment="1" applyProtection="1">
      <alignment vertical="center"/>
    </xf>
    <xf numFmtId="0" fontId="29" fillId="2" borderId="0" xfId="0" applyFont="1" applyFill="1" applyAlignment="1">
      <alignment vertical="center"/>
    </xf>
    <xf numFmtId="0" fontId="30" fillId="0" borderId="0" xfId="7" applyFont="1" applyAlignment="1">
      <alignment vertical="center"/>
    </xf>
    <xf numFmtId="0" fontId="30" fillId="2" borderId="0" xfId="0" applyFont="1" applyFill="1" applyAlignment="1">
      <alignment vertical="center"/>
    </xf>
    <xf numFmtId="0" fontId="31" fillId="2" borderId="0" xfId="0" applyFont="1" applyFill="1" applyAlignment="1">
      <alignment vertical="center"/>
    </xf>
    <xf numFmtId="0" fontId="25" fillId="9" borderId="1" xfId="0" applyFont="1" applyFill="1" applyBorder="1" applyAlignment="1">
      <alignment horizontal="center" vertical="center" wrapText="1"/>
    </xf>
    <xf numFmtId="0" fontId="25" fillId="9" borderId="2" xfId="0" applyFont="1" applyFill="1" applyBorder="1" applyAlignment="1">
      <alignment horizontal="center" vertical="center" wrapText="1"/>
    </xf>
    <xf numFmtId="0" fontId="25" fillId="9" borderId="6" xfId="0" applyFont="1" applyFill="1" applyBorder="1" applyAlignment="1">
      <alignment horizontal="center" vertical="center" wrapText="1"/>
    </xf>
    <xf numFmtId="0" fontId="32" fillId="2" borderId="0" xfId="7" applyFont="1" applyFill="1" applyAlignment="1">
      <alignment vertical="center"/>
    </xf>
    <xf numFmtId="0" fontId="27" fillId="0" borderId="0" xfId="1" applyFont="1" applyAlignment="1">
      <alignment horizontal="center" vertical="center" wrapText="1"/>
    </xf>
    <xf numFmtId="0" fontId="27" fillId="0" borderId="0" xfId="1" applyFont="1" applyAlignment="1">
      <alignment horizontal="center" vertical="center"/>
    </xf>
    <xf numFmtId="0" fontId="10" fillId="9" borderId="0" xfId="4" applyFont="1" applyFill="1" applyBorder="1" applyAlignment="1">
      <alignment horizontal="center" vertical="center" wrapText="1"/>
    </xf>
    <xf numFmtId="0" fontId="28" fillId="8" borderId="0" xfId="5" applyFont="1" applyFill="1" applyBorder="1" applyAlignment="1">
      <alignment horizontal="left" vertical="center" wrapText="1"/>
    </xf>
    <xf numFmtId="0" fontId="11" fillId="2" borderId="0" xfId="1" applyFont="1" applyFill="1" applyAlignment="1">
      <alignment horizontal="center" vertical="center" wrapText="1"/>
    </xf>
    <xf numFmtId="0" fontId="15" fillId="9" borderId="0" xfId="0" applyFont="1" applyFill="1" applyAlignment="1">
      <alignment horizontal="left" vertical="center" wrapText="1"/>
    </xf>
  </cellXfs>
  <cellStyles count="8">
    <cellStyle name="Énfasis2" xfId="4" builtinId="33"/>
    <cellStyle name="Énfasis4" xfId="5" builtinId="41"/>
    <cellStyle name="Hipervínculo" xfId="6" builtinId="8"/>
    <cellStyle name="Millares" xfId="3" builtinId="3"/>
    <cellStyle name="Normal" xfId="0" builtinId="0"/>
    <cellStyle name="Normal 10" xfId="7" xr:uid="{00000000-0005-0000-0000-000005000000}"/>
    <cellStyle name="Normal 2" xfId="1" xr:uid="{00000000-0005-0000-0000-000006000000}"/>
    <cellStyle name="Normal_indicadores de empleo" xfId="2" xr:uid="{00000000-0005-0000-0000-000007000000}"/>
  </cellStyles>
  <dxfs count="0"/>
  <tableStyles count="0" defaultTableStyle="TableStyleMedium2" defaultPivotStyle="PivotStyleMedium9"/>
  <colors>
    <mruColors>
      <color rgb="FF17223D"/>
      <color rgb="FFC5D9F1"/>
      <color rgb="FF531A42"/>
      <color rgb="FF0000A8"/>
      <color rgb="FF000080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1216023</xdr:colOff>
      <xdr:row>1</xdr:row>
      <xdr:rowOff>53971</xdr:rowOff>
    </xdr:from>
    <xdr:to>
      <xdr:col>13</xdr:col>
      <xdr:colOff>1219199</xdr:colOff>
      <xdr:row>1</xdr:row>
      <xdr:rowOff>190499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63" t="6161" r="7813" b="8194"/>
        <a:stretch/>
      </xdr:blipFill>
      <xdr:spPr bwMode="auto">
        <a:xfrm>
          <a:off x="10398123" y="139696"/>
          <a:ext cx="1098551" cy="10223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</xdr:colOff>
      <xdr:row>8</xdr:row>
      <xdr:rowOff>38099</xdr:rowOff>
    </xdr:from>
    <xdr:to>
      <xdr:col>2</xdr:col>
      <xdr:colOff>0</xdr:colOff>
      <xdr:row>9</xdr:row>
      <xdr:rowOff>219074</xdr:rowOff>
    </xdr:to>
    <xdr:pic>
      <xdr:nvPicPr>
        <xdr:cNvPr id="4" name="3 Imagen" descr="C:\Users\csalinas\Pictures\images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762249"/>
          <a:ext cx="590550" cy="4857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1219200</xdr:colOff>
      <xdr:row>1</xdr:row>
      <xdr:rowOff>66674</xdr:rowOff>
    </xdr:from>
    <xdr:to>
      <xdr:col>13</xdr:col>
      <xdr:colOff>2302328</xdr:colOff>
      <xdr:row>1</xdr:row>
      <xdr:rowOff>1074674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63" t="6161" r="7813" b="8194"/>
        <a:stretch/>
      </xdr:blipFill>
      <xdr:spPr bwMode="auto">
        <a:xfrm>
          <a:off x="10401300" y="152399"/>
          <a:ext cx="1083128" cy="10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4</xdr:row>
      <xdr:rowOff>47625</xdr:rowOff>
    </xdr:from>
    <xdr:to>
      <xdr:col>13</xdr:col>
      <xdr:colOff>2276665</xdr:colOff>
      <xdr:row>4</xdr:row>
      <xdr:rowOff>139674</xdr:rowOff>
    </xdr:to>
    <xdr:pic>
      <xdr:nvPicPr>
        <xdr:cNvPr id="7" name="Imagen 6" descr="Bolivia">
          <a:extLst>
            <a:ext uri="{FF2B5EF4-FFF2-40B4-BE49-F238E27FC236}">
              <a16:creationId xmlns:a16="http://schemas.microsoft.com/office/drawing/2014/main" id="{C0CBB8AF-AE73-4866-8611-475C5C6A1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057400"/>
          <a:ext cx="11230165" cy="92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4</xdr:col>
      <xdr:colOff>35925</xdr:colOff>
      <xdr:row>1</xdr:row>
      <xdr:rowOff>1130400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8DA3533-EE30-4821-8124-36340C0B3B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85725"/>
          <a:ext cx="2160000" cy="1130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76200</xdr:rowOff>
    </xdr:from>
    <xdr:to>
      <xdr:col>8</xdr:col>
      <xdr:colOff>237817</xdr:colOff>
      <xdr:row>0</xdr:row>
      <xdr:rowOff>1088224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EA910D-9E9C-4C92-84AE-372F43778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9700" y="76200"/>
          <a:ext cx="847417" cy="1012024"/>
        </a:xfrm>
        <a:prstGeom prst="rect">
          <a:avLst/>
        </a:prstGeom>
      </xdr:spPr>
    </xdr:pic>
    <xdr:clientData/>
  </xdr:twoCellAnchor>
  <xdr:oneCellAnchor>
    <xdr:from>
      <xdr:col>8</xdr:col>
      <xdr:colOff>0</xdr:colOff>
      <xdr:row>0</xdr:row>
      <xdr:rowOff>76200</xdr:rowOff>
    </xdr:from>
    <xdr:ext cx="847417" cy="1012024"/>
    <xdr:pic>
      <xdr:nvPicPr>
        <xdr:cNvPr id="4" name="Imagen 3">
          <a:extLst>
            <a:ext uri="{FF2B5EF4-FFF2-40B4-BE49-F238E27FC236}">
              <a16:creationId xmlns:a16="http://schemas.microsoft.com/office/drawing/2014/main" id="{A0CB4965-3C77-4FEE-9709-14F74CCBB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9700" y="76200"/>
          <a:ext cx="847417" cy="1012024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0</xdr:row>
      <xdr:rowOff>0</xdr:rowOff>
    </xdr:from>
    <xdr:to>
      <xdr:col>2</xdr:col>
      <xdr:colOff>407400</xdr:colOff>
      <xdr:row>1</xdr:row>
      <xdr:rowOff>35025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7411C3A-4408-4ED8-A6E1-9FA6A8910D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60000" cy="1130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85725</xdr:rowOff>
    </xdr:from>
    <xdr:to>
      <xdr:col>8</xdr:col>
      <xdr:colOff>237817</xdr:colOff>
      <xdr:row>1</xdr:row>
      <xdr:rowOff>2374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4B8C40-90A8-479A-9169-E6533B1B6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9700" y="85725"/>
          <a:ext cx="847417" cy="1012024"/>
        </a:xfrm>
        <a:prstGeom prst="rect">
          <a:avLst/>
        </a:prstGeom>
      </xdr:spPr>
    </xdr:pic>
    <xdr:clientData/>
  </xdr:twoCellAnchor>
  <xdr:oneCellAnchor>
    <xdr:from>
      <xdr:col>8</xdr:col>
      <xdr:colOff>0</xdr:colOff>
      <xdr:row>0</xdr:row>
      <xdr:rowOff>85725</xdr:rowOff>
    </xdr:from>
    <xdr:ext cx="847417" cy="1012024"/>
    <xdr:pic>
      <xdr:nvPicPr>
        <xdr:cNvPr id="4" name="Imagen 3">
          <a:extLst>
            <a:ext uri="{FF2B5EF4-FFF2-40B4-BE49-F238E27FC236}">
              <a16:creationId xmlns:a16="http://schemas.microsoft.com/office/drawing/2014/main" id="{1974F27A-A72B-472B-ACBD-2AAAAF7D1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9700" y="85725"/>
          <a:ext cx="847417" cy="1012024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0</xdr:row>
      <xdr:rowOff>0</xdr:rowOff>
    </xdr:from>
    <xdr:to>
      <xdr:col>2</xdr:col>
      <xdr:colOff>407400</xdr:colOff>
      <xdr:row>1</xdr:row>
      <xdr:rowOff>35025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82A19C1-FD31-4760-AE5B-C8C454F784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60000" cy="1130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85725</xdr:rowOff>
    </xdr:from>
    <xdr:to>
      <xdr:col>8</xdr:col>
      <xdr:colOff>237817</xdr:colOff>
      <xdr:row>1</xdr:row>
      <xdr:rowOff>2374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459090-30A9-42DC-9E9E-A45A2F201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24475" y="85725"/>
          <a:ext cx="847417" cy="1012024"/>
        </a:xfrm>
        <a:prstGeom prst="rect">
          <a:avLst/>
        </a:prstGeom>
      </xdr:spPr>
    </xdr:pic>
    <xdr:clientData/>
  </xdr:twoCellAnchor>
  <xdr:oneCellAnchor>
    <xdr:from>
      <xdr:col>8</xdr:col>
      <xdr:colOff>0</xdr:colOff>
      <xdr:row>0</xdr:row>
      <xdr:rowOff>85725</xdr:rowOff>
    </xdr:from>
    <xdr:ext cx="847417" cy="1012024"/>
    <xdr:pic>
      <xdr:nvPicPr>
        <xdr:cNvPr id="4" name="Imagen 3">
          <a:extLst>
            <a:ext uri="{FF2B5EF4-FFF2-40B4-BE49-F238E27FC236}">
              <a16:creationId xmlns:a16="http://schemas.microsoft.com/office/drawing/2014/main" id="{28385DA0-3415-4B7E-AB7A-EB83A733F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24475" y="85725"/>
          <a:ext cx="847417" cy="1012024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0</xdr:row>
      <xdr:rowOff>0</xdr:rowOff>
    </xdr:from>
    <xdr:to>
      <xdr:col>2</xdr:col>
      <xdr:colOff>407400</xdr:colOff>
      <xdr:row>1</xdr:row>
      <xdr:rowOff>35025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3C0388E-9CB5-4984-A099-ADCCF81CDC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60000" cy="1130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104775</xdr:rowOff>
    </xdr:from>
    <xdr:to>
      <xdr:col>8</xdr:col>
      <xdr:colOff>237817</xdr:colOff>
      <xdr:row>1</xdr:row>
      <xdr:rowOff>21424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F649344-DBC4-4470-AED5-03718B259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9700" y="104775"/>
          <a:ext cx="847417" cy="1012024"/>
        </a:xfrm>
        <a:prstGeom prst="rect">
          <a:avLst/>
        </a:prstGeom>
      </xdr:spPr>
    </xdr:pic>
    <xdr:clientData/>
  </xdr:twoCellAnchor>
  <xdr:oneCellAnchor>
    <xdr:from>
      <xdr:col>8</xdr:col>
      <xdr:colOff>0</xdr:colOff>
      <xdr:row>0</xdr:row>
      <xdr:rowOff>104775</xdr:rowOff>
    </xdr:from>
    <xdr:ext cx="847417" cy="1012024"/>
    <xdr:pic>
      <xdr:nvPicPr>
        <xdr:cNvPr id="4" name="Imagen 3">
          <a:extLst>
            <a:ext uri="{FF2B5EF4-FFF2-40B4-BE49-F238E27FC236}">
              <a16:creationId xmlns:a16="http://schemas.microsoft.com/office/drawing/2014/main" id="{DDF62071-7218-4366-98C8-7FAA825BF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9700" y="104775"/>
          <a:ext cx="847417" cy="1012024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0</xdr:row>
      <xdr:rowOff>0</xdr:rowOff>
    </xdr:from>
    <xdr:to>
      <xdr:col>2</xdr:col>
      <xdr:colOff>407400</xdr:colOff>
      <xdr:row>1</xdr:row>
      <xdr:rowOff>35025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4626420-3F9A-437A-8D2A-967657BCC2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60000" cy="1130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5">
    <tabColor rgb="FF17223D"/>
  </sheetPr>
  <dimension ref="A1:O16"/>
  <sheetViews>
    <sheetView showGridLines="0" workbookViewId="0">
      <selection activeCell="B3" sqref="B3:N3"/>
    </sheetView>
  </sheetViews>
  <sheetFormatPr baseColWidth="10" defaultRowHeight="15" x14ac:dyDescent="0.25"/>
  <cols>
    <col min="1" max="1" width="1.28515625" customWidth="1"/>
    <col min="2" max="2" width="9" style="13" customWidth="1"/>
    <col min="3" max="12" width="11.42578125" style="14"/>
    <col min="13" max="13" width="13.140625" style="14" customWidth="1"/>
    <col min="14" max="14" width="35.7109375" style="14" customWidth="1"/>
    <col min="15" max="15" width="1.28515625" customWidth="1"/>
  </cols>
  <sheetData>
    <row r="1" spans="1:15" ht="6.75" customHeight="1" x14ac:dyDescent="0.25">
      <c r="A1" s="4"/>
      <c r="B1" s="5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90" customHeight="1" x14ac:dyDescent="0.25">
      <c r="A2" s="4"/>
      <c r="B2" s="43" t="s">
        <v>24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"/>
    </row>
    <row r="3" spans="1:15" ht="42.75" customHeight="1" x14ac:dyDescent="0.25">
      <c r="A3" s="4"/>
      <c r="B3" s="45" t="s">
        <v>25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"/>
    </row>
    <row r="4" spans="1:15" ht="18.75" customHeight="1" x14ac:dyDescent="0.25">
      <c r="A4" s="4"/>
      <c r="B4" s="46" t="s">
        <v>34</v>
      </c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"/>
    </row>
    <row r="5" spans="1:15" ht="15.75" x14ac:dyDescent="0.25">
      <c r="A5" s="4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"/>
    </row>
    <row r="6" spans="1:15" ht="6.75" customHeight="1" x14ac:dyDescent="0.25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s="8" customFormat="1" ht="9.9499999999999993" customHeight="1" x14ac:dyDescent="0.25">
      <c r="A7" s="4"/>
      <c r="B7" s="6"/>
      <c r="C7" s="33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4"/>
    </row>
    <row r="8" spans="1:15" s="8" customFormat="1" ht="24" customHeight="1" x14ac:dyDescent="0.25">
      <c r="A8" s="4"/>
      <c r="B8" s="9">
        <v>1</v>
      </c>
      <c r="C8" s="34" t="s">
        <v>2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4"/>
    </row>
    <row r="9" spans="1:15" s="8" customFormat="1" ht="24" customHeight="1" x14ac:dyDescent="0.25">
      <c r="A9" s="4"/>
      <c r="B9" s="11"/>
      <c r="C9" s="35" t="s">
        <v>30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4"/>
    </row>
    <row r="10" spans="1:15" s="8" customFormat="1" ht="24" customHeight="1" x14ac:dyDescent="0.25">
      <c r="A10" s="4"/>
      <c r="B10" s="11"/>
      <c r="C10" s="35" t="s">
        <v>31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4"/>
    </row>
    <row r="11" spans="1:15" s="8" customFormat="1" ht="24" customHeight="1" x14ac:dyDescent="0.25">
      <c r="A11" s="4"/>
      <c r="B11" s="11"/>
      <c r="C11" s="35" t="s">
        <v>32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4"/>
    </row>
    <row r="12" spans="1:15" s="8" customFormat="1" ht="24" customHeight="1" x14ac:dyDescent="0.25">
      <c r="A12" s="4"/>
      <c r="B12" s="11"/>
      <c r="C12" s="35" t="s">
        <v>33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4"/>
    </row>
    <row r="13" spans="1:15" ht="6.7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ht="240" customHeight="1" x14ac:dyDescent="0.25">
      <c r="A14" s="4"/>
      <c r="B14" s="48" t="s">
        <v>3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"/>
    </row>
    <row r="15" spans="1:15" ht="240" customHeight="1" x14ac:dyDescent="0.25">
      <c r="A15" s="4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"/>
    </row>
    <row r="16" spans="1:15" ht="6.7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</sheetData>
  <mergeCells count="5">
    <mergeCell ref="B2:N2"/>
    <mergeCell ref="B3:N3"/>
    <mergeCell ref="B4:N4"/>
    <mergeCell ref="B5:N5"/>
    <mergeCell ref="B14:N15"/>
  </mergeCells>
  <hyperlinks>
    <hyperlink ref="C9:N9" location="'CUADRO Nº 1.1 ÍNDICE MENSUAL'!A1" display="Cuadro 1.1: Índice Mensual, por año, según mes, Serie: 1937 - 2019" xr:uid="{00000000-0004-0000-0000-000000000000}"/>
    <hyperlink ref="C10:N10" location="'CUADRO Nº 1.2 VAR MENSUAL'!A1" display="Cuadro 1.2: Variación Porcentual Mensual, Según Mes, Serie: 1937 - 2019" xr:uid="{00000000-0004-0000-0000-000001000000}"/>
    <hyperlink ref="C12:N12" location="'CUADRO Nº 1.4 VAR 12 MESES'!A1" display="Cuadro 1.4: Variación Porcentual a 12 Meses, Según Mes, Serie: 1937 - 2019" xr:uid="{00000000-0004-0000-0000-000002000000}"/>
    <hyperlink ref="C11:N11" location="'CUADRO Nº 1.3 VAR ACUMULADA'!A1" display="Cuadro 1.3: Variación Porcentual Acumulada, Según Mes, Serie: 1937 - 2019" xr:uid="{00000000-0004-0000-0000-000003000000}"/>
    <hyperlink ref="C8:N8" location="'CUADRO Nº 1.1 ÍNDICE MENSUAL'!A1" display="BOLIVIA" xr:uid="{00000000-0004-0000-0000-000004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A1:J20"/>
  <sheetViews>
    <sheetView showGridLines="0" workbookViewId="0"/>
  </sheetViews>
  <sheetFormatPr baseColWidth="10" defaultColWidth="9.140625" defaultRowHeight="14.25" x14ac:dyDescent="0.2"/>
  <cols>
    <col min="1" max="1" width="15.5703125" style="3" customWidth="1"/>
    <col min="2" max="6" width="10.7109375" style="3" customWidth="1"/>
    <col min="7" max="16384" width="9.140625" style="3"/>
  </cols>
  <sheetData>
    <row r="1" spans="1:10" ht="86.25" customHeight="1" x14ac:dyDescent="0.2"/>
    <row r="2" spans="1:10" s="1" customFormat="1" ht="15" customHeight="1" x14ac:dyDescent="0.2">
      <c r="A2" s="36" t="s">
        <v>19</v>
      </c>
      <c r="B2" s="16"/>
      <c r="C2" s="16"/>
      <c r="D2" s="15"/>
      <c r="E2" s="15"/>
    </row>
    <row r="3" spans="1:10" s="1" customFormat="1" ht="15" customHeight="1" x14ac:dyDescent="0.2">
      <c r="A3" s="37" t="s">
        <v>26</v>
      </c>
      <c r="B3" s="16"/>
      <c r="C3" s="16"/>
      <c r="D3" s="17"/>
      <c r="E3" s="17"/>
    </row>
    <row r="4" spans="1:10" s="1" customFormat="1" ht="15" customHeight="1" x14ac:dyDescent="0.2">
      <c r="A4" s="38" t="s">
        <v>23</v>
      </c>
      <c r="B4" s="16"/>
      <c r="C4" s="16"/>
      <c r="D4" s="18"/>
      <c r="E4" s="18"/>
    </row>
    <row r="5" spans="1:10" s="2" customFormat="1" ht="24.95" customHeight="1" x14ac:dyDescent="0.2">
      <c r="A5" s="39" t="s">
        <v>0</v>
      </c>
      <c r="B5" s="40">
        <v>2018</v>
      </c>
      <c r="C5" s="40">
        <v>2019</v>
      </c>
      <c r="D5" s="40">
        <v>2020</v>
      </c>
      <c r="E5" s="41">
        <v>2021</v>
      </c>
      <c r="F5" s="41">
        <v>2022</v>
      </c>
      <c r="G5" s="41">
        <v>2023</v>
      </c>
      <c r="H5" s="41">
        <v>2024</v>
      </c>
      <c r="I5" s="41">
        <v>2025</v>
      </c>
      <c r="J5" s="41">
        <v>2026</v>
      </c>
    </row>
    <row r="6" spans="1:10" s="2" customFormat="1" ht="7.5" customHeight="1" x14ac:dyDescent="0.2">
      <c r="A6" s="28"/>
      <c r="B6" s="28"/>
      <c r="C6" s="28"/>
      <c r="D6" s="28"/>
      <c r="E6" s="31"/>
      <c r="F6" s="31"/>
      <c r="G6" s="31"/>
      <c r="H6" s="31"/>
      <c r="I6" s="31"/>
      <c r="J6" s="31"/>
    </row>
    <row r="7" spans="1:10" ht="15" customHeight="1" x14ac:dyDescent="0.2">
      <c r="A7" s="22" t="s">
        <v>6</v>
      </c>
      <c r="B7" s="23">
        <v>101.16761582869999</v>
      </c>
      <c r="C7" s="23">
        <v>102.611932635</v>
      </c>
      <c r="D7" s="23">
        <v>103.853437152</v>
      </c>
      <c r="E7" s="23">
        <v>105.0705436217</v>
      </c>
      <c r="F7" s="23">
        <v>105.8484626507</v>
      </c>
      <c r="G7" s="23">
        <v>109.17693002830001</v>
      </c>
      <c r="H7" s="23">
        <v>111.21105733900001</v>
      </c>
      <c r="I7" s="23">
        <v>124.5946035939</v>
      </c>
      <c r="J7" s="23">
        <v>149.06117044070001</v>
      </c>
    </row>
    <row r="8" spans="1:10" ht="15" customHeight="1" x14ac:dyDescent="0.2">
      <c r="A8" s="22" t="s">
        <v>7</v>
      </c>
      <c r="B8" s="23">
        <v>101.49050476250004</v>
      </c>
      <c r="C8" s="23">
        <v>102.4555416028</v>
      </c>
      <c r="D8" s="23">
        <v>103.7884570992</v>
      </c>
      <c r="E8" s="23">
        <v>105.2407868792</v>
      </c>
      <c r="F8" s="23">
        <v>105.9791002404</v>
      </c>
      <c r="G8" s="23">
        <v>108.6978542631</v>
      </c>
      <c r="H8" s="23">
        <v>111.43334830000001</v>
      </c>
      <c r="I8" s="23">
        <v>126.16827813970001</v>
      </c>
      <c r="J8" s="23">
        <v>148.1374102915</v>
      </c>
    </row>
    <row r="9" spans="1:10" ht="15" customHeight="1" x14ac:dyDescent="0.2">
      <c r="A9" s="22" t="s">
        <v>8</v>
      </c>
      <c r="B9" s="23">
        <v>101.36092937770003</v>
      </c>
      <c r="C9" s="23">
        <v>102.4380856499</v>
      </c>
      <c r="D9" s="23">
        <v>103.90846720019999</v>
      </c>
      <c r="E9" s="23">
        <v>105.11571976899999</v>
      </c>
      <c r="F9" s="23">
        <v>105.9293158215</v>
      </c>
      <c r="G9" s="23">
        <v>108.6146018048</v>
      </c>
      <c r="H9" s="23">
        <v>111.9415594867</v>
      </c>
      <c r="I9" s="23">
        <v>128.32299060619999</v>
      </c>
      <c r="J9" s="23">
        <v>147.63473372499999</v>
      </c>
    </row>
    <row r="10" spans="1:10" ht="15" customHeight="1" x14ac:dyDescent="0.2">
      <c r="A10" s="22" t="s">
        <v>9</v>
      </c>
      <c r="B10" s="23">
        <v>101.21660397120003</v>
      </c>
      <c r="C10" s="23">
        <v>102.5816680957</v>
      </c>
      <c r="D10" s="23">
        <v>104.341275313</v>
      </c>
      <c r="E10" s="23">
        <v>105.0484912279</v>
      </c>
      <c r="F10" s="23">
        <v>105.95860651860001</v>
      </c>
      <c r="G10" s="23">
        <v>108.814653807</v>
      </c>
      <c r="H10" s="23">
        <v>112.5796609356</v>
      </c>
      <c r="I10" s="23">
        <v>129.4723145346</v>
      </c>
      <c r="J10" s="23">
        <v>147.835077361</v>
      </c>
    </row>
    <row r="11" spans="1:10" ht="15" customHeight="1" x14ac:dyDescent="0.2">
      <c r="A11" s="22" t="s">
        <v>10</v>
      </c>
      <c r="B11" s="23">
        <v>101.33528371439999</v>
      </c>
      <c r="C11" s="23">
        <v>103.0489999478</v>
      </c>
      <c r="D11" s="23">
        <v>104.31571765459999</v>
      </c>
      <c r="E11" s="23">
        <v>104.8753807081</v>
      </c>
      <c r="F11" s="23">
        <v>106.3587891027</v>
      </c>
      <c r="G11" s="23">
        <v>109.4397851125</v>
      </c>
      <c r="H11" s="23">
        <v>113.2887760178</v>
      </c>
      <c r="I11" s="23">
        <v>134.19796780850001</v>
      </c>
      <c r="J11" s="23">
        <v>150.98410481299999</v>
      </c>
    </row>
    <row r="12" spans="1:10" ht="15" customHeight="1" x14ac:dyDescent="0.2">
      <c r="A12" s="22" t="s">
        <v>11</v>
      </c>
      <c r="B12" s="23">
        <v>101.45493380509998</v>
      </c>
      <c r="C12" s="23">
        <v>103.2098980664</v>
      </c>
      <c r="D12" s="23">
        <v>104.693147682</v>
      </c>
      <c r="E12" s="23">
        <v>104.8890668935</v>
      </c>
      <c r="F12" s="23">
        <v>106.7688421803</v>
      </c>
      <c r="G12" s="23">
        <v>109.6785939521</v>
      </c>
      <c r="H12" s="23">
        <v>113.89502972069999</v>
      </c>
      <c r="I12" s="23">
        <v>141.18567388759999</v>
      </c>
      <c r="J12" s="23">
        <v>154.22390634160001</v>
      </c>
    </row>
    <row r="13" spans="1:10" ht="15" customHeight="1" x14ac:dyDescent="0.2">
      <c r="A13" s="22" t="s">
        <v>12</v>
      </c>
      <c r="B13" s="23">
        <v>101.4971130225</v>
      </c>
      <c r="C13" s="23">
        <v>103.4439151119</v>
      </c>
      <c r="D13" s="23">
        <v>104.83641116299999</v>
      </c>
      <c r="E13" s="23">
        <v>105.04501019999999</v>
      </c>
      <c r="F13" s="23">
        <v>107.1867262447</v>
      </c>
      <c r="G13" s="23">
        <v>110.0817023</v>
      </c>
      <c r="H13" s="23">
        <v>114.4340097621</v>
      </c>
      <c r="I13" s="23">
        <v>142.8784655293</v>
      </c>
      <c r="J13" s="23">
        <v>149.92031935739999</v>
      </c>
    </row>
    <row r="14" spans="1:10" ht="15" customHeight="1" x14ac:dyDescent="0.2">
      <c r="A14" s="22" t="s">
        <v>13</v>
      </c>
      <c r="B14" s="23">
        <v>101.67178236469999</v>
      </c>
      <c r="C14" s="23">
        <v>103.9627570334</v>
      </c>
      <c r="D14" s="23">
        <v>105.4062357263</v>
      </c>
      <c r="E14" s="23">
        <v>105.5928891968</v>
      </c>
      <c r="F14" s="23">
        <v>107.22729623150001</v>
      </c>
      <c r="G14" s="23">
        <v>110.5068387692</v>
      </c>
      <c r="H14" s="23">
        <v>116.24531412490001</v>
      </c>
      <c r="I14" s="23">
        <v>144.31785019599999</v>
      </c>
      <c r="J14" s="23">
        <v>151.56915428720001</v>
      </c>
    </row>
    <row r="15" spans="1:10" ht="15" customHeight="1" x14ac:dyDescent="0.2">
      <c r="A15" s="22" t="s">
        <v>14</v>
      </c>
      <c r="B15" s="23">
        <v>101.5841222589</v>
      </c>
      <c r="C15" s="23">
        <v>103.87809529650001</v>
      </c>
      <c r="D15" s="23">
        <v>104.3524559941</v>
      </c>
      <c r="E15" s="23">
        <v>105.3861152076</v>
      </c>
      <c r="F15" s="23">
        <v>107.38222198539999</v>
      </c>
      <c r="G15" s="23">
        <v>110.4402808648</v>
      </c>
      <c r="H15" s="23">
        <v>117.2677729503</v>
      </c>
      <c r="I15" s="23">
        <v>144.60877073789999</v>
      </c>
      <c r="J15" s="23">
        <v>152.8502227818</v>
      </c>
    </row>
    <row r="16" spans="1:10" ht="15" customHeight="1" x14ac:dyDescent="0.2">
      <c r="A16" s="22" t="s">
        <v>15</v>
      </c>
      <c r="B16" s="23">
        <v>101.76302031509999</v>
      </c>
      <c r="C16" s="23">
        <v>104.3453914995</v>
      </c>
      <c r="D16" s="23">
        <v>104.6330769703</v>
      </c>
      <c r="E16" s="23">
        <v>105.1485213624</v>
      </c>
      <c r="F16" s="23">
        <v>108.18414260669999</v>
      </c>
      <c r="G16" s="23">
        <v>110.42943053410001</v>
      </c>
      <c r="H16" s="23">
        <v>119.1963834221</v>
      </c>
      <c r="I16" s="23">
        <v>145.6966617596</v>
      </c>
      <c r="J16" s="23" t="s">
        <v>35</v>
      </c>
    </row>
    <row r="17" spans="1:10" ht="15" customHeight="1" x14ac:dyDescent="0.2">
      <c r="A17" s="22" t="s">
        <v>16</v>
      </c>
      <c r="B17" s="23">
        <v>102.0271876513</v>
      </c>
      <c r="C17" s="23">
        <v>105.50869256670001</v>
      </c>
      <c r="D17" s="23">
        <v>104.35215948219999</v>
      </c>
      <c r="E17" s="23">
        <v>105.3525568253</v>
      </c>
      <c r="F17" s="23">
        <v>108.69293450000001</v>
      </c>
      <c r="G17" s="23">
        <v>110.425657</v>
      </c>
      <c r="H17" s="23">
        <v>120.9228200185</v>
      </c>
      <c r="I17" s="23">
        <v>146.27379224149999</v>
      </c>
      <c r="J17" s="23" t="s">
        <v>35</v>
      </c>
    </row>
    <row r="18" spans="1:10" ht="15" customHeight="1" x14ac:dyDescent="0.2">
      <c r="A18" s="22" t="s">
        <v>17</v>
      </c>
      <c r="B18" s="23">
        <v>102.3802715508</v>
      </c>
      <c r="C18" s="23">
        <v>103.8842828752</v>
      </c>
      <c r="D18" s="23">
        <v>104.5807979129</v>
      </c>
      <c r="E18" s="23">
        <v>105.5230190914</v>
      </c>
      <c r="F18" s="23">
        <v>108.8183638985</v>
      </c>
      <c r="G18" s="23">
        <v>111.1234908771</v>
      </c>
      <c r="H18" s="23">
        <v>122.2067817654</v>
      </c>
      <c r="I18" s="23">
        <v>147.1364641781</v>
      </c>
      <c r="J18" s="23" t="s">
        <v>35</v>
      </c>
    </row>
    <row r="19" spans="1:10" ht="15" customHeight="1" x14ac:dyDescent="0.2">
      <c r="A19" s="20" t="s">
        <v>4</v>
      </c>
      <c r="B19" s="21">
        <v>101.57911405190833</v>
      </c>
      <c r="C19" s="21">
        <v>103.44743836506666</v>
      </c>
      <c r="D19" s="21">
        <v>104.42180327914998</v>
      </c>
      <c r="E19" s="21">
        <v>105.19067508190835</v>
      </c>
      <c r="F19" s="21">
        <v>107.02790016508334</v>
      </c>
      <c r="G19" s="21">
        <v>109.78581827608333</v>
      </c>
      <c r="H19" s="21">
        <f>+AVERAGE(H7:H18)</f>
        <v>115.38520948692501</v>
      </c>
      <c r="I19" s="21">
        <f>+AVERAGE(I7:I18)</f>
        <v>137.90448610107498</v>
      </c>
      <c r="J19" s="21"/>
    </row>
    <row r="20" spans="1:10" x14ac:dyDescent="0.2">
      <c r="A20" s="42" t="s">
        <v>22</v>
      </c>
      <c r="B20" s="29"/>
      <c r="C20" s="29"/>
      <c r="D20" s="19"/>
      <c r="E20" s="19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1:J21"/>
  <sheetViews>
    <sheetView showGridLines="0" workbookViewId="0"/>
  </sheetViews>
  <sheetFormatPr baseColWidth="10" defaultColWidth="9.140625" defaultRowHeight="14.25" x14ac:dyDescent="0.2"/>
  <cols>
    <col min="1" max="1" width="15.5703125" style="3" customWidth="1"/>
    <col min="2" max="6" width="10.7109375" style="3" customWidth="1"/>
    <col min="7" max="16384" width="9.140625" style="3"/>
  </cols>
  <sheetData>
    <row r="1" spans="1:10" ht="86.25" customHeight="1" x14ac:dyDescent="0.2"/>
    <row r="2" spans="1:10" s="1" customFormat="1" ht="15" customHeight="1" x14ac:dyDescent="0.2">
      <c r="A2" s="36" t="s">
        <v>20</v>
      </c>
      <c r="B2" s="16"/>
      <c r="C2" s="16"/>
      <c r="D2" s="15"/>
      <c r="E2" s="15"/>
    </row>
    <row r="3" spans="1:10" s="1" customFormat="1" ht="15" customHeight="1" x14ac:dyDescent="0.2">
      <c r="A3" s="37" t="s">
        <v>27</v>
      </c>
      <c r="B3" s="16"/>
      <c r="C3" s="16"/>
      <c r="D3" s="17"/>
      <c r="E3" s="17"/>
    </row>
    <row r="4" spans="1:10" s="1" customFormat="1" ht="15" customHeight="1" x14ac:dyDescent="0.2">
      <c r="A4" s="38" t="s">
        <v>1</v>
      </c>
      <c r="B4" s="16"/>
      <c r="C4" s="16"/>
      <c r="D4" s="18"/>
      <c r="E4" s="18"/>
    </row>
    <row r="5" spans="1:10" s="2" customFormat="1" ht="24.95" customHeight="1" x14ac:dyDescent="0.2">
      <c r="A5" s="39" t="s">
        <v>0</v>
      </c>
      <c r="B5" s="40">
        <v>2018</v>
      </c>
      <c r="C5" s="40">
        <v>2019</v>
      </c>
      <c r="D5" s="40">
        <v>2020</v>
      </c>
      <c r="E5" s="41">
        <v>2021</v>
      </c>
      <c r="F5" s="41">
        <v>2022</v>
      </c>
      <c r="G5" s="41">
        <v>2023</v>
      </c>
      <c r="H5" s="41">
        <v>2024</v>
      </c>
      <c r="I5" s="41">
        <v>2025</v>
      </c>
      <c r="J5" s="41">
        <v>2026</v>
      </c>
    </row>
    <row r="6" spans="1:10" s="2" customFormat="1" ht="7.5" customHeight="1" x14ac:dyDescent="0.2">
      <c r="A6" s="28"/>
      <c r="B6" s="28"/>
      <c r="C6" s="28"/>
      <c r="D6" s="28"/>
      <c r="E6" s="31"/>
      <c r="F6" s="31"/>
      <c r="G6" s="31"/>
      <c r="H6" s="31"/>
      <c r="I6" s="31"/>
      <c r="J6" s="31"/>
    </row>
    <row r="7" spans="1:10" ht="15" customHeight="1" x14ac:dyDescent="0.2">
      <c r="A7" s="22" t="s">
        <v>6</v>
      </c>
      <c r="B7" s="23">
        <v>0.30475384848267506</v>
      </c>
      <c r="C7" s="23">
        <v>0.22627512184811849</v>
      </c>
      <c r="D7" s="23">
        <v>-2.9692386900392886E-2</v>
      </c>
      <c r="E7" s="23">
        <v>0.46829410233404367</v>
      </c>
      <c r="F7" s="23">
        <v>0.30841001527648348</v>
      </c>
      <c r="G7" s="23">
        <v>0.32950884111293544</v>
      </c>
      <c r="H7" s="23">
        <v>7.8801035864550784E-2</v>
      </c>
      <c r="I7" s="23">
        <v>1.9539192457288523</v>
      </c>
      <c r="J7" s="23">
        <v>1.3081096337004938</v>
      </c>
    </row>
    <row r="8" spans="1:10" ht="15" customHeight="1" x14ac:dyDescent="0.2">
      <c r="A8" s="22" t="s">
        <v>7</v>
      </c>
      <c r="B8" s="23">
        <v>0.31916234375510832</v>
      </c>
      <c r="C8" s="23">
        <v>-0.15241018094483971</v>
      </c>
      <c r="D8" s="23">
        <v>-6.2568995867595678E-2</v>
      </c>
      <c r="E8" s="23">
        <v>0.16202757845524829</v>
      </c>
      <c r="F8" s="23">
        <v>0.12341944930376325</v>
      </c>
      <c r="G8" s="23">
        <v>-0.43880677454094519</v>
      </c>
      <c r="H8" s="23">
        <v>0.19988206777172834</v>
      </c>
      <c r="I8" s="23">
        <v>1.2630358782866669</v>
      </c>
      <c r="J8" s="23">
        <v>-0.61971883520631765</v>
      </c>
    </row>
    <row r="9" spans="1:10" ht="15" customHeight="1" x14ac:dyDescent="0.2">
      <c r="A9" s="22" t="s">
        <v>8</v>
      </c>
      <c r="B9" s="23">
        <v>-0.12767242128042255</v>
      </c>
      <c r="C9" s="23">
        <v>-1.703758784240561E-2</v>
      </c>
      <c r="D9" s="23">
        <v>0.1156295260129836</v>
      </c>
      <c r="E9" s="23">
        <v>-0.11883901090892213</v>
      </c>
      <c r="F9" s="23">
        <v>-4.6975695006912233E-2</v>
      </c>
      <c r="G9" s="23">
        <v>-7.6590709967916393E-2</v>
      </c>
      <c r="H9" s="23">
        <v>0.45606741110550963</v>
      </c>
      <c r="I9" s="23">
        <v>1.7078084113299585</v>
      </c>
      <c r="J9" s="23">
        <v>-0.33933127729913748</v>
      </c>
    </row>
    <row r="10" spans="1:10" ht="15" customHeight="1" x14ac:dyDescent="0.2">
      <c r="A10" s="22" t="s">
        <v>9</v>
      </c>
      <c r="B10" s="23">
        <v>-0.14238761166267544</v>
      </c>
      <c r="C10" s="23">
        <v>0.14016510059617904</v>
      </c>
      <c r="D10" s="23">
        <v>0.41652824304116987</v>
      </c>
      <c r="E10" s="23">
        <v>-6.3956695770850391E-2</v>
      </c>
      <c r="F10" s="23">
        <v>2.7651171795883833E-2</v>
      </c>
      <c r="G10" s="23">
        <v>0.18418518217240276</v>
      </c>
      <c r="H10" s="23">
        <v>0.57003087309661638</v>
      </c>
      <c r="I10" s="23">
        <v>0.89564926983900506</v>
      </c>
      <c r="J10" s="23">
        <v>0.13570223682808358</v>
      </c>
    </row>
    <row r="11" spans="1:10" ht="15" customHeight="1" x14ac:dyDescent="0.2">
      <c r="A11" s="22" t="s">
        <v>10</v>
      </c>
      <c r="B11" s="23">
        <v>0.11725323567834955</v>
      </c>
      <c r="C11" s="23">
        <v>0.45557053299623007</v>
      </c>
      <c r="D11" s="23">
        <v>-2.4494293675569878E-2</v>
      </c>
      <c r="E11" s="23">
        <v>-0.16479105770729197</v>
      </c>
      <c r="F11" s="23">
        <v>0.37767822477898783</v>
      </c>
      <c r="G11" s="23">
        <v>0.5744918387635245</v>
      </c>
      <c r="H11" s="23">
        <v>0.62987850230393772</v>
      </c>
      <c r="I11" s="23">
        <v>3.6499334169523445</v>
      </c>
      <c r="J11" s="23">
        <v>2.130094905899993</v>
      </c>
    </row>
    <row r="12" spans="1:10" ht="15" customHeight="1" x14ac:dyDescent="0.2">
      <c r="A12" s="22" t="s">
        <v>11</v>
      </c>
      <c r="B12" s="23">
        <v>0.11807347481969099</v>
      </c>
      <c r="C12" s="23">
        <v>0.1561374867116605</v>
      </c>
      <c r="D12" s="23">
        <v>0.36181510886952317</v>
      </c>
      <c r="E12" s="23">
        <v>1.3049950624832718E-2</v>
      </c>
      <c r="F12" s="23">
        <v>0.38553755741244089</v>
      </c>
      <c r="G12" s="23">
        <v>0.2182102599658009</v>
      </c>
      <c r="H12" s="23">
        <v>0.53514012968480795</v>
      </c>
      <c r="I12" s="23">
        <v>5.207013335009214</v>
      </c>
      <c r="J12" s="23">
        <v>2.1457898052332336</v>
      </c>
    </row>
    <row r="13" spans="1:10" ht="15" customHeight="1" x14ac:dyDescent="0.2">
      <c r="A13" s="22" t="s">
        <v>12</v>
      </c>
      <c r="B13" s="23">
        <v>4.1574338297878377E-2</v>
      </c>
      <c r="C13" s="23">
        <v>0.22673895613136708</v>
      </c>
      <c r="D13" s="23">
        <v>0.13684131595235183</v>
      </c>
      <c r="E13" s="23">
        <v>0.14867451024074274</v>
      </c>
      <c r="F13" s="23">
        <v>0.39139139833914705</v>
      </c>
      <c r="G13" s="23">
        <v>0.36753602811141484</v>
      </c>
      <c r="H13" s="23">
        <v>0.473225251990117</v>
      </c>
      <c r="I13" s="23">
        <v>1.19898258448492</v>
      </c>
      <c r="J13" s="23">
        <v>-2.7904798200790948</v>
      </c>
    </row>
    <row r="14" spans="1:10" ht="15" customHeight="1" x14ac:dyDescent="0.2">
      <c r="A14" s="22" t="s">
        <v>13</v>
      </c>
      <c r="B14" s="23">
        <v>0.17209291673279115</v>
      </c>
      <c r="C14" s="23">
        <v>0.50156833385390787</v>
      </c>
      <c r="D14" s="23">
        <v>0.54353688473181005</v>
      </c>
      <c r="E14" s="23">
        <v>0.52156594183472293</v>
      </c>
      <c r="F14" s="23">
        <v>3.7849823594182652E-2</v>
      </c>
      <c r="G14" s="23">
        <v>0.38620084929410492</v>
      </c>
      <c r="H14" s="23">
        <v>1.582837450654373</v>
      </c>
      <c r="I14" s="23">
        <v>1.0074189006493928</v>
      </c>
      <c r="J14" s="23">
        <v>1.0998075089936998</v>
      </c>
    </row>
    <row r="15" spans="1:10" ht="15" customHeight="1" x14ac:dyDescent="0.2">
      <c r="A15" s="22" t="s">
        <v>14</v>
      </c>
      <c r="B15" s="23">
        <v>-8.621871650243973E-2</v>
      </c>
      <c r="C15" s="23">
        <v>-8.1434678452008136E-2</v>
      </c>
      <c r="D15" s="23">
        <v>-0.99973187064213986</v>
      </c>
      <c r="E15" s="23">
        <v>-0.19582188798208389</v>
      </c>
      <c r="F15" s="23">
        <v>0.14448350312359359</v>
      </c>
      <c r="G15" s="23">
        <v>-6.0229670074096742E-2</v>
      </c>
      <c r="H15" s="23">
        <v>0.87956992769739895</v>
      </c>
      <c r="I15" s="23">
        <v>0.20158320090335469</v>
      </c>
      <c r="J15" s="23">
        <v>0.84520396028111566</v>
      </c>
    </row>
    <row r="16" spans="1:10" ht="15" customHeight="1" x14ac:dyDescent="0.2">
      <c r="A16" s="22" t="s">
        <v>15</v>
      </c>
      <c r="B16" s="23">
        <v>0.17610828564729175</v>
      </c>
      <c r="C16" s="23">
        <v>0.44985056923327882</v>
      </c>
      <c r="D16" s="23">
        <v>0.26891650371494435</v>
      </c>
      <c r="E16" s="23">
        <v>-0.22545080510080195</v>
      </c>
      <c r="F16" s="23">
        <v>0.74679086209357148</v>
      </c>
      <c r="G16" s="23">
        <v>-9.8246134608070967E-3</v>
      </c>
      <c r="H16" s="23">
        <v>1.6446210440249187</v>
      </c>
      <c r="I16" s="23">
        <v>0.75229947405597297</v>
      </c>
      <c r="J16" s="23"/>
    </row>
    <row r="17" spans="1:10" ht="15" customHeight="1" x14ac:dyDescent="0.2">
      <c r="A17" s="22" t="s">
        <v>16</v>
      </c>
      <c r="B17" s="23">
        <v>0.25959069943288782</v>
      </c>
      <c r="C17" s="23">
        <v>1.1148562006263463</v>
      </c>
      <c r="D17" s="23">
        <v>-0.26847866490606886</v>
      </c>
      <c r="E17" s="23">
        <v>0.1940450139063632</v>
      </c>
      <c r="F17" s="23">
        <v>0.47030172910804691</v>
      </c>
      <c r="G17" s="32">
        <v>-3.4171453042519673E-3</v>
      </c>
      <c r="H17" s="23">
        <v>1.448396794293938</v>
      </c>
      <c r="I17" s="23">
        <v>0.39611784850104304</v>
      </c>
      <c r="J17" s="23"/>
    </row>
    <row r="18" spans="1:10" ht="15" customHeight="1" x14ac:dyDescent="0.2">
      <c r="A18" s="22" t="s">
        <v>17</v>
      </c>
      <c r="B18" s="23">
        <v>0.34606844276325877</v>
      </c>
      <c r="C18" s="23">
        <v>-1.5395979724353914</v>
      </c>
      <c r="D18" s="23">
        <v>0.21910273044134509</v>
      </c>
      <c r="E18" s="23">
        <v>0.1618017362242874</v>
      </c>
      <c r="F18" s="23">
        <v>0.11539793186832181</v>
      </c>
      <c r="G18" s="23">
        <v>0.63194903798489133</v>
      </c>
      <c r="H18" s="23">
        <v>1.0618026826562321</v>
      </c>
      <c r="I18" s="23">
        <v>0.5897652090510741</v>
      </c>
      <c r="J18" s="23"/>
    </row>
    <row r="19" spans="1:10" ht="15" customHeight="1" x14ac:dyDescent="0.2">
      <c r="A19" s="24" t="s">
        <v>4</v>
      </c>
      <c r="B19" s="25">
        <v>2.2716326346639892</v>
      </c>
      <c r="C19" s="25">
        <v>1.8392799844696217</v>
      </c>
      <c r="D19" s="25">
        <v>0.94189370900106262</v>
      </c>
      <c r="E19" s="25">
        <v>0.73631346961415822</v>
      </c>
      <c r="F19" s="25">
        <v>1.7465664877872156</v>
      </c>
      <c r="G19" s="25">
        <v>2.5768216574800551</v>
      </c>
      <c r="H19" s="25">
        <v>5.1002864475269805</v>
      </c>
      <c r="I19" s="25">
        <v>19.516605910137706</v>
      </c>
      <c r="J19" s="25"/>
    </row>
    <row r="20" spans="1:10" ht="15" customHeight="1" x14ac:dyDescent="0.2">
      <c r="A20" s="20" t="s">
        <v>5</v>
      </c>
      <c r="B20" s="21">
        <v>1.5070667893564815</v>
      </c>
      <c r="C20" s="21">
        <v>1.4690440859533416</v>
      </c>
      <c r="D20" s="21">
        <v>0.67047200829863929</v>
      </c>
      <c r="E20" s="21">
        <v>0.90095045869198476</v>
      </c>
      <c r="F20" s="21">
        <v>3.122868200203488</v>
      </c>
      <c r="G20" s="21">
        <v>2.1183253414378767</v>
      </c>
      <c r="H20" s="21">
        <v>9.9738505340494221</v>
      </c>
      <c r="I20" s="21">
        <v>20.399589983931854</v>
      </c>
      <c r="J20" s="21"/>
    </row>
    <row r="21" spans="1:10" x14ac:dyDescent="0.2">
      <c r="A21" s="42" t="s">
        <v>22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1:J19"/>
  <sheetViews>
    <sheetView showGridLines="0" workbookViewId="0"/>
  </sheetViews>
  <sheetFormatPr baseColWidth="10" defaultColWidth="9.140625" defaultRowHeight="14.25" x14ac:dyDescent="0.2"/>
  <cols>
    <col min="1" max="1" width="15.5703125" style="3" customWidth="1"/>
    <col min="2" max="7" width="10.7109375" style="3" customWidth="1"/>
    <col min="8" max="16384" width="9.140625" style="3"/>
  </cols>
  <sheetData>
    <row r="1" spans="1:10" ht="86.25" customHeight="1" x14ac:dyDescent="0.2"/>
    <row r="2" spans="1:10" s="1" customFormat="1" ht="15" customHeight="1" x14ac:dyDescent="0.2">
      <c r="A2" s="36" t="s">
        <v>21</v>
      </c>
      <c r="B2" s="16"/>
      <c r="C2" s="16"/>
      <c r="D2" s="15"/>
      <c r="E2" s="15"/>
    </row>
    <row r="3" spans="1:10" s="1" customFormat="1" ht="15" customHeight="1" x14ac:dyDescent="0.2">
      <c r="A3" s="37" t="s">
        <v>28</v>
      </c>
      <c r="B3" s="16"/>
      <c r="C3" s="16"/>
      <c r="D3" s="17"/>
      <c r="E3" s="17"/>
    </row>
    <row r="4" spans="1:10" s="1" customFormat="1" ht="15" customHeight="1" x14ac:dyDescent="0.2">
      <c r="A4" s="38" t="s">
        <v>1</v>
      </c>
      <c r="B4" s="16"/>
      <c r="C4" s="16"/>
      <c r="D4" s="18"/>
      <c r="E4" s="18"/>
    </row>
    <row r="5" spans="1:10" s="2" customFormat="1" ht="24.95" customHeight="1" x14ac:dyDescent="0.2">
      <c r="A5" s="39" t="s">
        <v>0</v>
      </c>
      <c r="B5" s="40">
        <v>2018</v>
      </c>
      <c r="C5" s="40">
        <v>2019</v>
      </c>
      <c r="D5" s="40">
        <v>2020</v>
      </c>
      <c r="E5" s="41">
        <v>2021</v>
      </c>
      <c r="F5" s="41">
        <v>2022</v>
      </c>
      <c r="G5" s="41">
        <v>2023</v>
      </c>
      <c r="H5" s="41">
        <v>2024</v>
      </c>
      <c r="I5" s="41">
        <v>2025</v>
      </c>
      <c r="J5" s="41">
        <v>2026</v>
      </c>
    </row>
    <row r="6" spans="1:10" s="2" customFormat="1" ht="7.5" customHeight="1" x14ac:dyDescent="0.2">
      <c r="A6" s="28"/>
      <c r="B6" s="28"/>
      <c r="C6" s="28"/>
      <c r="D6" s="28"/>
      <c r="E6" s="31"/>
      <c r="F6" s="31"/>
      <c r="G6" s="31"/>
      <c r="H6" s="31"/>
      <c r="I6" s="31"/>
      <c r="J6" s="31"/>
    </row>
    <row r="7" spans="1:10" ht="15" customHeight="1" x14ac:dyDescent="0.2">
      <c r="A7" s="22" t="s">
        <v>6</v>
      </c>
      <c r="B7" s="23">
        <v>0.30475384848267506</v>
      </c>
      <c r="C7" s="23">
        <v>0.22627512184811849</v>
      </c>
      <c r="D7" s="23">
        <v>-2.9692386900392886E-2</v>
      </c>
      <c r="E7" s="23">
        <v>0.46829410233404367</v>
      </c>
      <c r="F7" s="23">
        <v>0.30841001527648348</v>
      </c>
      <c r="G7" s="23">
        <v>0.32950884111293544</v>
      </c>
      <c r="H7" s="23">
        <v>7.8801035864550784E-2</v>
      </c>
      <c r="I7" s="23">
        <v>1.9539192457288523</v>
      </c>
      <c r="J7" s="23">
        <v>1.3081096337004938</v>
      </c>
    </row>
    <row r="8" spans="1:10" ht="15" customHeight="1" x14ac:dyDescent="0.2">
      <c r="A8" s="22" t="s">
        <v>7</v>
      </c>
      <c r="B8" s="23">
        <v>0.62488885176330555</v>
      </c>
      <c r="C8" s="23">
        <v>7.3520074580613048E-2</v>
      </c>
      <c r="D8" s="23">
        <v>-9.2242804539655054E-2</v>
      </c>
      <c r="E8" s="23">
        <v>0.63108044638335858</v>
      </c>
      <c r="F8" s="23">
        <v>0.43221010252270098</v>
      </c>
      <c r="G8" s="23">
        <v>-0.11074384054552411</v>
      </c>
      <c r="H8" s="23">
        <v>0.27884061277620997</v>
      </c>
      <c r="I8" s="23">
        <v>3.2416338251218146</v>
      </c>
      <c r="J8" s="23">
        <v>0.68028419670900231</v>
      </c>
    </row>
    <row r="9" spans="1:10" ht="15" customHeight="1" x14ac:dyDescent="0.2">
      <c r="A9" s="22" t="s">
        <v>8</v>
      </c>
      <c r="B9" s="23">
        <v>0.49641861975551205</v>
      </c>
      <c r="C9" s="23">
        <v>5.6469960690930243E-2</v>
      </c>
      <c r="D9" s="23">
        <v>2.3280061555652765E-2</v>
      </c>
      <c r="E9" s="23">
        <v>0.51149146571392023</v>
      </c>
      <c r="F9" s="23">
        <v>0.38503137381624697</v>
      </c>
      <c r="G9" s="23">
        <v>-0.18724973101971187</v>
      </c>
      <c r="H9" s="23">
        <v>0.73617972504551599</v>
      </c>
      <c r="I9" s="23">
        <v>5.0048031315817365</v>
      </c>
      <c r="J9" s="23">
        <v>0.33864450235590038</v>
      </c>
    </row>
    <row r="10" spans="1:10" ht="15" customHeight="1" x14ac:dyDescent="0.2">
      <c r="A10" s="22" t="s">
        <v>9</v>
      </c>
      <c r="B10" s="23">
        <v>0.35332416947631007</v>
      </c>
      <c r="C10" s="23">
        <v>0.19671421246432175</v>
      </c>
      <c r="D10" s="23">
        <v>0.43990527262820489</v>
      </c>
      <c r="E10" s="23">
        <v>0.44720763690244691</v>
      </c>
      <c r="F10" s="23">
        <v>0.41278901129877532</v>
      </c>
      <c r="G10" s="32">
        <v>-3.4094351055058425E-3</v>
      </c>
      <c r="H10" s="23">
        <v>1.3104070498563658</v>
      </c>
      <c r="I10" s="23">
        <v>5.9452778841256437</v>
      </c>
      <c r="J10" s="23">
        <v>0.47480628734857255</v>
      </c>
    </row>
    <row r="11" spans="1:10" ht="15" customHeight="1" x14ac:dyDescent="0.2">
      <c r="A11" s="22" t="s">
        <v>10</v>
      </c>
      <c r="B11" s="23">
        <v>0.47099168917579259</v>
      </c>
      <c r="C11" s="23">
        <v>0.65318091744674955</v>
      </c>
      <c r="D11" s="23">
        <v>0.41530322726326396</v>
      </c>
      <c r="E11" s="23">
        <v>0.28167962100016375</v>
      </c>
      <c r="F11" s="23">
        <v>0.79202625028771401</v>
      </c>
      <c r="G11" s="23">
        <v>0.57106281673158232</v>
      </c>
      <c r="H11" s="23">
        <v>1.9485395244600134</v>
      </c>
      <c r="I11" s="23">
        <v>9.8122099853013456</v>
      </c>
      <c r="J11" s="23">
        <v>2.6150150177882914</v>
      </c>
    </row>
    <row r="12" spans="1:10" ht="15" customHeight="1" x14ac:dyDescent="0.2">
      <c r="A12" s="22" t="s">
        <v>11</v>
      </c>
      <c r="B12" s="23">
        <v>0.58962128024901972</v>
      </c>
      <c r="C12" s="23">
        <v>0.81033826442660217</v>
      </c>
      <c r="D12" s="23">
        <v>0.77862096595662234</v>
      </c>
      <c r="E12" s="23">
        <v>0.29476633067644364</v>
      </c>
      <c r="F12" s="23">
        <v>1.1806173663595709</v>
      </c>
      <c r="G12" s="23">
        <v>0.79051919435435547</v>
      </c>
      <c r="H12" s="23">
        <v>2.4941070710829738</v>
      </c>
      <c r="I12" s="23">
        <v>15.530146402704336</v>
      </c>
      <c r="J12" s="23">
        <v>4.8169175486785454</v>
      </c>
    </row>
    <row r="13" spans="1:10" ht="15" customHeight="1" x14ac:dyDescent="0.2">
      <c r="A13" s="22" t="s">
        <v>12</v>
      </c>
      <c r="B13" s="23">
        <v>0.63144074969263553</v>
      </c>
      <c r="C13" s="23">
        <v>1.0389145730798521</v>
      </c>
      <c r="D13" s="23">
        <v>0.91652775708508383</v>
      </c>
      <c r="E13" s="23">
        <v>0.44387908331566805</v>
      </c>
      <c r="F13" s="23">
        <v>1.5766295995179647</v>
      </c>
      <c r="G13" s="23">
        <v>1.160960665314148</v>
      </c>
      <c r="H13" s="23">
        <v>2.9791350675451467</v>
      </c>
      <c r="I13" s="23">
        <v>16.915332737902688</v>
      </c>
      <c r="J13" s="23">
        <v>1.8920226164537368</v>
      </c>
    </row>
    <row r="14" spans="1:10" ht="15" customHeight="1" x14ac:dyDescent="0.2">
      <c r="A14" s="22" t="s">
        <v>13</v>
      </c>
      <c r="B14" s="23">
        <v>0.80462033122898902</v>
      </c>
      <c r="C14" s="23">
        <v>1.5456937734481091</v>
      </c>
      <c r="D14" s="23">
        <v>1.4650463082354515</v>
      </c>
      <c r="E14" s="23">
        <v>0.96776014727188997</v>
      </c>
      <c r="F14" s="23">
        <v>1.6150761746343001</v>
      </c>
      <c r="G14" s="23">
        <v>1.5516451545576571</v>
      </c>
      <c r="H14" s="23">
        <v>4.6091273837541857</v>
      </c>
      <c r="I14" s="23">
        <v>18.093159897661447</v>
      </c>
      <c r="J14" s="23">
        <v>3.0126387322550352</v>
      </c>
    </row>
    <row r="15" spans="1:10" ht="15" customHeight="1" x14ac:dyDescent="0.2">
      <c r="A15" s="22" t="s">
        <v>14</v>
      </c>
      <c r="B15" s="23">
        <v>0.71770788140426145</v>
      </c>
      <c r="C15" s="23">
        <v>1.463000364241851</v>
      </c>
      <c r="D15" s="23">
        <v>0.4506679027302285</v>
      </c>
      <c r="E15" s="23">
        <v>0.77004317309827819</v>
      </c>
      <c r="F15" s="23">
        <v>1.7618931963931272</v>
      </c>
      <c r="G15" s="23">
        <v>1.490480933726257</v>
      </c>
      <c r="H15" s="23">
        <v>5.529237809848353</v>
      </c>
      <c r="I15" s="23">
        <v>18.331215869431073</v>
      </c>
      <c r="J15" s="23">
        <v>3.883305634410128</v>
      </c>
    </row>
    <row r="16" spans="1:10" ht="15" customHeight="1" x14ac:dyDescent="0.2">
      <c r="A16" s="22" t="s">
        <v>15</v>
      </c>
      <c r="B16" s="23">
        <v>0.89508011009744592</v>
      </c>
      <c r="C16" s="23">
        <v>1.919432248941555</v>
      </c>
      <c r="D16" s="23">
        <v>0.72079632681254502</v>
      </c>
      <c r="E16" s="23">
        <v>0.54285629946411174</v>
      </c>
      <c r="F16" s="23">
        <v>2.5218417158771933</v>
      </c>
      <c r="G16" s="23">
        <v>1.4805098862750166</v>
      </c>
      <c r="H16" s="23">
        <v>7.2647938624682329</v>
      </c>
      <c r="I16" s="23">
        <v>19.221420984060835</v>
      </c>
      <c r="J16" s="23"/>
    </row>
    <row r="17" spans="1:10" ht="15" customHeight="1" x14ac:dyDescent="0.2">
      <c r="A17" s="22" t="s">
        <v>16</v>
      </c>
      <c r="B17" s="23">
        <v>1.1569943542486083</v>
      </c>
      <c r="C17" s="23">
        <v>3.0556873590120492</v>
      </c>
      <c r="D17" s="23">
        <v>0.45038247755155858</v>
      </c>
      <c r="E17" s="23">
        <v>0.73795469895225896</v>
      </c>
      <c r="F17" s="23">
        <v>3.0040037101803696</v>
      </c>
      <c r="G17" s="23">
        <v>1.4770421497967146</v>
      </c>
      <c r="H17" s="23">
        <v>8.8184136981782189</v>
      </c>
      <c r="I17" s="23">
        <v>19.693678311815276</v>
      </c>
      <c r="J17" s="23"/>
    </row>
    <row r="18" spans="1:10" ht="15" customHeight="1" x14ac:dyDescent="0.2">
      <c r="A18" s="26" t="s">
        <v>17</v>
      </c>
      <c r="B18" s="27">
        <v>1.5070667893564815</v>
      </c>
      <c r="C18" s="27">
        <v>1.4690440859533416</v>
      </c>
      <c r="D18" s="27">
        <v>0.67047200829863929</v>
      </c>
      <c r="E18" s="27">
        <v>0.90095045869198476</v>
      </c>
      <c r="F18" s="27">
        <v>3.122868200203488</v>
      </c>
      <c r="G18" s="27">
        <v>2.1183253414378767</v>
      </c>
      <c r="H18" s="27">
        <v>9.9738505340494221</v>
      </c>
      <c r="I18" s="27">
        <v>20.399589983931854</v>
      </c>
      <c r="J18" s="27"/>
    </row>
    <row r="19" spans="1:10" x14ac:dyDescent="0.2">
      <c r="A19" s="42" t="s">
        <v>22</v>
      </c>
      <c r="B19" s="30"/>
      <c r="C19" s="30"/>
      <c r="D19" s="30"/>
      <c r="E19" s="30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J19"/>
  <sheetViews>
    <sheetView showGridLines="0" tabSelected="1" workbookViewId="0"/>
  </sheetViews>
  <sheetFormatPr baseColWidth="10" defaultColWidth="9.140625" defaultRowHeight="14.25" x14ac:dyDescent="0.2"/>
  <cols>
    <col min="1" max="1" width="15.5703125" style="3" customWidth="1"/>
    <col min="2" max="6" width="10.7109375" style="3" customWidth="1"/>
    <col min="7" max="16384" width="9.140625" style="3"/>
  </cols>
  <sheetData>
    <row r="1" spans="1:10" ht="86.25" customHeight="1" x14ac:dyDescent="0.2"/>
    <row r="2" spans="1:10" s="1" customFormat="1" ht="15" customHeight="1" x14ac:dyDescent="0.2">
      <c r="A2" s="36" t="s">
        <v>18</v>
      </c>
      <c r="B2" s="16"/>
      <c r="C2" s="16"/>
      <c r="D2" s="15"/>
      <c r="E2" s="15"/>
    </row>
    <row r="3" spans="1:10" s="1" customFormat="1" ht="15" customHeight="1" x14ac:dyDescent="0.2">
      <c r="A3" s="37" t="s">
        <v>29</v>
      </c>
      <c r="B3" s="16"/>
      <c r="C3" s="16"/>
      <c r="D3" s="17"/>
      <c r="E3" s="17"/>
    </row>
    <row r="4" spans="1:10" s="1" customFormat="1" ht="15" customHeight="1" x14ac:dyDescent="0.2">
      <c r="A4" s="38" t="s">
        <v>1</v>
      </c>
      <c r="B4" s="16"/>
      <c r="C4" s="16"/>
      <c r="D4" s="18"/>
      <c r="E4" s="18"/>
    </row>
    <row r="5" spans="1:10" s="2" customFormat="1" ht="24.95" customHeight="1" x14ac:dyDescent="0.2">
      <c r="A5" s="39" t="s">
        <v>0</v>
      </c>
      <c r="B5" s="40">
        <v>2018</v>
      </c>
      <c r="C5" s="40">
        <v>2019</v>
      </c>
      <c r="D5" s="41">
        <v>2020</v>
      </c>
      <c r="E5" s="41">
        <v>2021</v>
      </c>
      <c r="F5" s="41">
        <v>2022</v>
      </c>
      <c r="G5" s="41">
        <v>2023</v>
      </c>
      <c r="H5" s="41">
        <v>2024</v>
      </c>
      <c r="I5" s="41">
        <v>2025</v>
      </c>
      <c r="J5" s="41">
        <v>2026</v>
      </c>
    </row>
    <row r="6" spans="1:10" s="2" customFormat="1" ht="7.5" customHeight="1" x14ac:dyDescent="0.2">
      <c r="A6" s="28"/>
      <c r="B6" s="28"/>
      <c r="C6" s="28"/>
      <c r="D6" s="31"/>
      <c r="E6" s="31"/>
      <c r="F6" s="31"/>
      <c r="G6" s="31"/>
      <c r="H6" s="31"/>
      <c r="I6" s="31"/>
      <c r="J6" s="31"/>
    </row>
    <row r="7" spans="1:10" ht="15" customHeight="1" x14ac:dyDescent="0.2">
      <c r="A7" s="22" t="s">
        <v>6</v>
      </c>
      <c r="B7" s="23">
        <v>2.9280718035576525</v>
      </c>
      <c r="C7" s="23">
        <v>1.4276473696341441</v>
      </c>
      <c r="D7" s="23">
        <v>1.2099026742008023</v>
      </c>
      <c r="E7" s="23">
        <v>1.1719462572227002</v>
      </c>
      <c r="F7" s="23">
        <v>0.74037784728786527</v>
      </c>
      <c r="G7" s="23">
        <v>3.1445590179084215</v>
      </c>
      <c r="H7" s="23">
        <v>1.863147562559897</v>
      </c>
      <c r="I7" s="23">
        <v>12.034366523558448</v>
      </c>
      <c r="J7" s="23">
        <v>19.636939434829472</v>
      </c>
    </row>
    <row r="8" spans="1:10" ht="15" customHeight="1" x14ac:dyDescent="0.2">
      <c r="A8" s="22" t="s">
        <v>7</v>
      </c>
      <c r="B8" s="23">
        <v>2.870215547259658</v>
      </c>
      <c r="C8" s="23">
        <v>0.95086416464107426</v>
      </c>
      <c r="D8" s="23">
        <v>1.3009696455146047</v>
      </c>
      <c r="E8" s="23">
        <v>1.3993172464370263</v>
      </c>
      <c r="F8" s="23">
        <v>0.70154678912413004</v>
      </c>
      <c r="G8" s="23">
        <v>2.5653680928908074</v>
      </c>
      <c r="H8" s="23">
        <v>2.5166035295221434</v>
      </c>
      <c r="I8" s="23">
        <v>13.223088119034831</v>
      </c>
      <c r="J8" s="23">
        <v>17.412563978621186</v>
      </c>
    </row>
    <row r="9" spans="1:10" ht="15" customHeight="1" x14ac:dyDescent="0.2">
      <c r="A9" s="22" t="s">
        <v>8</v>
      </c>
      <c r="B9" s="23">
        <v>2.7280740860542663</v>
      </c>
      <c r="C9" s="23">
        <v>1.0626937606167619</v>
      </c>
      <c r="D9" s="23">
        <v>1.4353856194904591</v>
      </c>
      <c r="E9" s="23">
        <v>1.1618423419469615</v>
      </c>
      <c r="F9" s="23">
        <v>0.77400036292187835</v>
      </c>
      <c r="G9" s="23">
        <v>2.5349790683298234</v>
      </c>
      <c r="H9" s="23">
        <v>3.0630850977837687</v>
      </c>
      <c r="I9" s="23">
        <v>14.633913619406291</v>
      </c>
      <c r="J9" s="23">
        <v>15.049324386511721</v>
      </c>
    </row>
    <row r="10" spans="1:10" ht="15" customHeight="1" x14ac:dyDescent="0.2">
      <c r="A10" s="22" t="s">
        <v>9</v>
      </c>
      <c r="B10" s="23">
        <v>3.009193175322733</v>
      </c>
      <c r="C10" s="23">
        <v>1.3486563181752009</v>
      </c>
      <c r="D10" s="23">
        <v>1.7153232638588367</v>
      </c>
      <c r="E10" s="23">
        <v>0.67779113565413773</v>
      </c>
      <c r="F10" s="23">
        <v>0.86637635634911891</v>
      </c>
      <c r="G10" s="23">
        <v>2.6954368146570928</v>
      </c>
      <c r="H10" s="23">
        <v>3.4600184780974708</v>
      </c>
      <c r="I10" s="23">
        <v>15.005067041961739</v>
      </c>
      <c r="J10" s="23">
        <v>14.182771731861465</v>
      </c>
    </row>
    <row r="11" spans="1:10" ht="15" customHeight="1" x14ac:dyDescent="0.2">
      <c r="A11" s="22" t="s">
        <v>10</v>
      </c>
      <c r="B11" s="23">
        <v>3.1474123810747212</v>
      </c>
      <c r="C11" s="23">
        <v>1.6911347860138148</v>
      </c>
      <c r="D11" s="23">
        <v>1.2292382336962504</v>
      </c>
      <c r="E11" s="23">
        <v>0.5365088464933887</v>
      </c>
      <c r="F11" s="23">
        <v>1.4144486385501587</v>
      </c>
      <c r="G11" s="23">
        <v>2.8967949294956608</v>
      </c>
      <c r="H11" s="23">
        <v>3.5169942095037765</v>
      </c>
      <c r="I11" s="23">
        <v>18.456543115458103</v>
      </c>
      <c r="J11" s="23">
        <v>12.508488227223925</v>
      </c>
    </row>
    <row r="12" spans="1:10" ht="15" customHeight="1" x14ac:dyDescent="0.2">
      <c r="A12" s="22" t="s">
        <v>11</v>
      </c>
      <c r="B12" s="23">
        <v>3.171480013113448</v>
      </c>
      <c r="C12" s="23">
        <v>1.7297968619952808</v>
      </c>
      <c r="D12" s="23">
        <v>1.437119543171872</v>
      </c>
      <c r="E12" s="23">
        <v>0.18713661384515135</v>
      </c>
      <c r="F12" s="23">
        <v>1.7921556006486705</v>
      </c>
      <c r="G12" s="23">
        <v>2.7252817510995619</v>
      </c>
      <c r="H12" s="23">
        <v>3.8443561470540288</v>
      </c>
      <c r="I12" s="23">
        <v>23.961224852237795</v>
      </c>
      <c r="J12" s="23">
        <v>9.2348126371376349</v>
      </c>
    </row>
    <row r="13" spans="1:10" ht="15" customHeight="1" x14ac:dyDescent="0.2">
      <c r="A13" s="22" t="s">
        <v>12</v>
      </c>
      <c r="B13" s="23">
        <v>2.4447808731858922</v>
      </c>
      <c r="C13" s="23">
        <v>1.9180861715430542</v>
      </c>
      <c r="D13" s="23">
        <v>1.346136260981301</v>
      </c>
      <c r="E13" s="23">
        <v>0.1989757515408197</v>
      </c>
      <c r="F13" s="23">
        <v>2.0388555281972476</v>
      </c>
      <c r="G13" s="23">
        <v>2.7008717932955451</v>
      </c>
      <c r="H13" s="23">
        <v>3.9537065390203407</v>
      </c>
      <c r="I13" s="23">
        <v>24.856645175969927</v>
      </c>
      <c r="J13" s="23">
        <v>4.9285620488805693</v>
      </c>
    </row>
    <row r="14" spans="1:10" ht="15" customHeight="1" x14ac:dyDescent="0.2">
      <c r="A14" s="22" t="s">
        <v>13</v>
      </c>
      <c r="B14" s="23">
        <v>1.8160838649075917</v>
      </c>
      <c r="C14" s="23">
        <v>2.253304324381955</v>
      </c>
      <c r="D14" s="23">
        <v>1.3884574958282991</v>
      </c>
      <c r="E14" s="23">
        <v>0.17708010272246</v>
      </c>
      <c r="F14" s="23">
        <v>1.5478381613877934</v>
      </c>
      <c r="G14" s="23">
        <v>3.0584959734688999</v>
      </c>
      <c r="H14" s="23">
        <v>5.1928689840500697</v>
      </c>
      <c r="I14" s="23">
        <v>24.149391553914512</v>
      </c>
      <c r="J14" s="23">
        <v>5.0245372151483059</v>
      </c>
    </row>
    <row r="15" spans="1:10" ht="15" customHeight="1" x14ac:dyDescent="0.2">
      <c r="A15" s="22" t="s">
        <v>14</v>
      </c>
      <c r="B15" s="23">
        <v>0.91895033589532993</v>
      </c>
      <c r="C15" s="23">
        <v>2.2582003826872921</v>
      </c>
      <c r="D15" s="23">
        <v>0.45665132407946007</v>
      </c>
      <c r="E15" s="23">
        <v>0.99054612912843343</v>
      </c>
      <c r="F15" s="23">
        <v>1.8940889640612246</v>
      </c>
      <c r="G15" s="23">
        <v>2.8478260394125599</v>
      </c>
      <c r="H15" s="23">
        <v>6.1820669343082724</v>
      </c>
      <c r="I15" s="23">
        <v>23.315014091030406</v>
      </c>
      <c r="J15" s="23">
        <v>5.6991370591465973</v>
      </c>
    </row>
    <row r="16" spans="1:10" ht="15" customHeight="1" x14ac:dyDescent="0.2">
      <c r="A16" s="22" t="s">
        <v>15</v>
      </c>
      <c r="B16" s="23">
        <v>1.3137209603814481</v>
      </c>
      <c r="C16" s="23">
        <v>2.5376322129629481</v>
      </c>
      <c r="D16" s="23">
        <v>0.27570500878457693</v>
      </c>
      <c r="E16" s="23">
        <v>0.49262088722319408</v>
      </c>
      <c r="F16" s="23">
        <v>2.8869842437798665</v>
      </c>
      <c r="G16" s="23">
        <v>2.0754316421055297</v>
      </c>
      <c r="H16" s="23">
        <v>7.9389641380907205</v>
      </c>
      <c r="I16" s="23">
        <v>22.232451670665899</v>
      </c>
      <c r="J16" s="23"/>
    </row>
    <row r="17" spans="1:10" ht="15" customHeight="1" x14ac:dyDescent="0.2">
      <c r="A17" s="22" t="s">
        <v>16</v>
      </c>
      <c r="B17" s="23">
        <v>1.4977979479357195</v>
      </c>
      <c r="C17" s="23">
        <v>3.4123305714343521</v>
      </c>
      <c r="D17" s="23">
        <v>-1.096149574376426</v>
      </c>
      <c r="E17" s="23">
        <v>0.95867430828842082</v>
      </c>
      <c r="F17" s="23">
        <v>3.1706659765639689</v>
      </c>
      <c r="G17" s="23">
        <v>1.5941445577587254</v>
      </c>
      <c r="H17" s="23">
        <v>9.5060906166942729</v>
      </c>
      <c r="I17" s="23">
        <v>20.96458899910003</v>
      </c>
      <c r="J17" s="23"/>
    </row>
    <row r="18" spans="1:10" ht="15" customHeight="1" x14ac:dyDescent="0.2">
      <c r="A18" s="26" t="s">
        <v>17</v>
      </c>
      <c r="B18" s="27">
        <v>1.5070667893564815</v>
      </c>
      <c r="C18" s="27">
        <v>1.4690440859533416</v>
      </c>
      <c r="D18" s="27">
        <v>0.67047200829863929</v>
      </c>
      <c r="E18" s="27">
        <v>0.90095045869198476</v>
      </c>
      <c r="F18" s="27">
        <v>3.122868200203488</v>
      </c>
      <c r="G18" s="27">
        <v>2.1183253414378767</v>
      </c>
      <c r="H18" s="27">
        <v>9.9738505340494221</v>
      </c>
      <c r="I18" s="27">
        <v>20.399589983931854</v>
      </c>
      <c r="J18" s="27"/>
    </row>
    <row r="19" spans="1:10" x14ac:dyDescent="0.2">
      <c r="A19" s="42" t="s">
        <v>22</v>
      </c>
      <c r="B19" s="29"/>
      <c r="C19" s="29"/>
      <c r="D19" s="19"/>
      <c r="E19" s="19"/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INICIO</vt:lpstr>
      <vt:lpstr>CUADRO Nº 1.1 ÍNDICE MENSUAL</vt:lpstr>
      <vt:lpstr>CUADRO Nº 1.2 VAR MENSUAL</vt:lpstr>
      <vt:lpstr>CUADRO Nº 1.3 VAR ACUMULADA</vt:lpstr>
      <vt:lpstr>CUADRO Nº 1.4 VAR 12 MESES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2026-10-02T21:35:16Z</dcterms:modified>
</cp:coreProperties>
</file>